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xr:revisionPtr revIDLastSave="0" documentId="8_{F6F957F4-0A69-4DB4-969B-AB203D5B69D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aw_Data_Project 1" sheetId="1" r:id="rId1"/>
    <sheet name="PivotTable Sheet" sheetId="3" r:id="rId2"/>
    <sheet name="Dashboard_Project 1" sheetId="2" r:id="rId3"/>
  </sheets>
  <calcPr calcId="191028"/>
  <pivotCaches>
    <pivotCache cacheId="96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K3" i="1" s="1"/>
  <c r="I3" i="1" s="1"/>
  <c r="G4" i="1"/>
  <c r="H4" i="1" s="1"/>
  <c r="K4" i="1" s="1"/>
  <c r="I4" i="1" s="1"/>
  <c r="G5" i="1"/>
  <c r="H5" i="1" s="1"/>
  <c r="K5" i="1" s="1"/>
  <c r="I5" i="1" s="1"/>
  <c r="G6" i="1"/>
  <c r="H6" i="1" s="1"/>
  <c r="K6" i="1" s="1"/>
  <c r="I6" i="1" s="1"/>
  <c r="G7" i="1"/>
  <c r="H7" i="1" s="1"/>
  <c r="K7" i="1" s="1"/>
  <c r="I7" i="1" s="1"/>
  <c r="G8" i="1"/>
  <c r="H8" i="1" s="1"/>
  <c r="K8" i="1" s="1"/>
  <c r="I8" i="1" s="1"/>
  <c r="G9" i="1"/>
  <c r="H9" i="1" s="1"/>
  <c r="K9" i="1" s="1"/>
  <c r="I9" i="1" s="1"/>
  <c r="G10" i="1"/>
  <c r="H10" i="1" s="1"/>
  <c r="K10" i="1" s="1"/>
  <c r="I10" i="1" s="1"/>
  <c r="G11" i="1"/>
  <c r="H11" i="1" s="1"/>
  <c r="K11" i="1" s="1"/>
  <c r="I11" i="1" s="1"/>
  <c r="G12" i="1"/>
  <c r="H12" i="1" s="1"/>
  <c r="K12" i="1" s="1"/>
  <c r="I12" i="1" s="1"/>
  <c r="G13" i="1"/>
  <c r="H13" i="1" s="1"/>
  <c r="K13" i="1" s="1"/>
  <c r="I13" i="1" s="1"/>
  <c r="G14" i="1"/>
  <c r="H14" i="1" s="1"/>
  <c r="K14" i="1" s="1"/>
  <c r="I14" i="1" s="1"/>
  <c r="G15" i="1"/>
  <c r="H15" i="1" s="1"/>
  <c r="K15" i="1" s="1"/>
  <c r="I15" i="1" s="1"/>
  <c r="G16" i="1"/>
  <c r="H16" i="1" s="1"/>
  <c r="K16" i="1" s="1"/>
  <c r="I16" i="1" s="1"/>
  <c r="G17" i="1"/>
  <c r="H17" i="1" s="1"/>
  <c r="K17" i="1" s="1"/>
  <c r="I17" i="1" s="1"/>
  <c r="G18" i="1"/>
  <c r="H18" i="1" s="1"/>
  <c r="K18" i="1" s="1"/>
  <c r="I18" i="1" s="1"/>
  <c r="G19" i="1"/>
  <c r="H19" i="1" s="1"/>
  <c r="K19" i="1" s="1"/>
  <c r="I19" i="1" s="1"/>
  <c r="G20" i="1"/>
  <c r="H20" i="1" s="1"/>
  <c r="K20" i="1" s="1"/>
  <c r="I20" i="1" s="1"/>
  <c r="G21" i="1"/>
  <c r="H21" i="1" s="1"/>
  <c r="K21" i="1" s="1"/>
  <c r="I21" i="1" s="1"/>
  <c r="G22" i="1"/>
  <c r="H22" i="1" s="1"/>
  <c r="K22" i="1" s="1"/>
  <c r="I22" i="1" s="1"/>
  <c r="G23" i="1"/>
  <c r="H23" i="1" s="1"/>
  <c r="K23" i="1" s="1"/>
  <c r="I23" i="1" s="1"/>
  <c r="G24" i="1"/>
  <c r="H24" i="1" s="1"/>
  <c r="K24" i="1" s="1"/>
  <c r="I24" i="1" s="1"/>
  <c r="G25" i="1"/>
  <c r="H25" i="1" s="1"/>
  <c r="K25" i="1" s="1"/>
  <c r="I25" i="1" s="1"/>
  <c r="G26" i="1"/>
  <c r="H26" i="1" s="1"/>
  <c r="K26" i="1" s="1"/>
  <c r="I26" i="1" s="1"/>
  <c r="G27" i="1"/>
  <c r="H27" i="1" s="1"/>
  <c r="K27" i="1" s="1"/>
  <c r="I27" i="1" s="1"/>
  <c r="G28" i="1"/>
  <c r="H28" i="1" s="1"/>
  <c r="K28" i="1" s="1"/>
  <c r="I28" i="1" s="1"/>
  <c r="G29" i="1"/>
  <c r="H29" i="1" s="1"/>
  <c r="K29" i="1" s="1"/>
  <c r="I29" i="1" s="1"/>
  <c r="G30" i="1"/>
  <c r="H30" i="1" s="1"/>
  <c r="K30" i="1" s="1"/>
  <c r="I30" i="1" s="1"/>
  <c r="G31" i="1"/>
  <c r="H31" i="1" s="1"/>
  <c r="K31" i="1" s="1"/>
  <c r="I31" i="1" s="1"/>
  <c r="G32" i="1"/>
  <c r="H32" i="1" s="1"/>
  <c r="K32" i="1" s="1"/>
  <c r="I32" i="1" s="1"/>
  <c r="G33" i="1"/>
  <c r="H33" i="1" s="1"/>
  <c r="K33" i="1" s="1"/>
  <c r="I33" i="1" s="1"/>
  <c r="G34" i="1"/>
  <c r="H34" i="1" s="1"/>
  <c r="K34" i="1" s="1"/>
  <c r="I34" i="1" s="1"/>
  <c r="G35" i="1"/>
  <c r="H35" i="1" s="1"/>
  <c r="K35" i="1" s="1"/>
  <c r="I35" i="1" s="1"/>
  <c r="G36" i="1"/>
  <c r="H36" i="1" s="1"/>
  <c r="K36" i="1" s="1"/>
  <c r="I36" i="1" s="1"/>
  <c r="G37" i="1"/>
  <c r="H37" i="1" s="1"/>
  <c r="K37" i="1" s="1"/>
  <c r="I37" i="1" s="1"/>
  <c r="G38" i="1"/>
  <c r="H38" i="1" s="1"/>
  <c r="K38" i="1" s="1"/>
  <c r="I38" i="1" s="1"/>
  <c r="G39" i="1"/>
  <c r="H39" i="1" s="1"/>
  <c r="K39" i="1" s="1"/>
  <c r="I39" i="1" s="1"/>
  <c r="G40" i="1"/>
  <c r="H40" i="1" s="1"/>
  <c r="K40" i="1" s="1"/>
  <c r="I40" i="1" s="1"/>
  <c r="G41" i="1"/>
  <c r="H41" i="1" s="1"/>
  <c r="K41" i="1" s="1"/>
  <c r="I41" i="1" s="1"/>
  <c r="G42" i="1"/>
  <c r="H42" i="1" s="1"/>
  <c r="K42" i="1" s="1"/>
  <c r="I42" i="1" s="1"/>
  <c r="G43" i="1"/>
  <c r="H43" i="1" s="1"/>
  <c r="K43" i="1" s="1"/>
  <c r="I43" i="1" s="1"/>
  <c r="G44" i="1"/>
  <c r="H44" i="1" s="1"/>
  <c r="K44" i="1" s="1"/>
  <c r="I44" i="1" s="1"/>
  <c r="G45" i="1"/>
  <c r="H45" i="1" s="1"/>
  <c r="K45" i="1" s="1"/>
  <c r="I45" i="1" s="1"/>
  <c r="G46" i="1"/>
  <c r="H46" i="1" s="1"/>
  <c r="K46" i="1" s="1"/>
  <c r="I46" i="1" s="1"/>
  <c r="G47" i="1"/>
  <c r="H47" i="1" s="1"/>
  <c r="K47" i="1" s="1"/>
  <c r="I47" i="1" s="1"/>
  <c r="G48" i="1"/>
  <c r="H48" i="1" s="1"/>
  <c r="K48" i="1" s="1"/>
  <c r="I48" i="1" s="1"/>
  <c r="G49" i="1"/>
  <c r="H49" i="1" s="1"/>
  <c r="K49" i="1" s="1"/>
  <c r="I49" i="1" s="1"/>
  <c r="G50" i="1"/>
  <c r="H50" i="1" s="1"/>
  <c r="K50" i="1" s="1"/>
  <c r="I50" i="1" s="1"/>
  <c r="G51" i="1"/>
  <c r="H51" i="1" s="1"/>
  <c r="K51" i="1" s="1"/>
  <c r="I51" i="1" s="1"/>
  <c r="G52" i="1"/>
  <c r="H52" i="1" s="1"/>
  <c r="K52" i="1" s="1"/>
  <c r="I52" i="1" s="1"/>
  <c r="G53" i="1"/>
  <c r="H53" i="1" s="1"/>
  <c r="K53" i="1" s="1"/>
  <c r="I53" i="1" s="1"/>
  <c r="G54" i="1"/>
  <c r="H54" i="1" s="1"/>
  <c r="K54" i="1" s="1"/>
  <c r="I54" i="1" s="1"/>
  <c r="G55" i="1"/>
  <c r="H55" i="1" s="1"/>
  <c r="K55" i="1" s="1"/>
  <c r="I55" i="1" s="1"/>
  <c r="G56" i="1"/>
  <c r="H56" i="1" s="1"/>
  <c r="K56" i="1" s="1"/>
  <c r="I56" i="1" s="1"/>
  <c r="G57" i="1"/>
  <c r="H57" i="1" s="1"/>
  <c r="K57" i="1" s="1"/>
  <c r="I57" i="1" s="1"/>
  <c r="G58" i="1"/>
  <c r="H58" i="1" s="1"/>
  <c r="K58" i="1" s="1"/>
  <c r="I58" i="1" s="1"/>
  <c r="G59" i="1"/>
  <c r="H59" i="1" s="1"/>
  <c r="K59" i="1" s="1"/>
  <c r="I59" i="1" s="1"/>
  <c r="G60" i="1"/>
  <c r="H60" i="1" s="1"/>
  <c r="K60" i="1" s="1"/>
  <c r="I60" i="1" s="1"/>
  <c r="G61" i="1"/>
  <c r="H61" i="1" s="1"/>
  <c r="K61" i="1" s="1"/>
  <c r="I61" i="1" s="1"/>
  <c r="G62" i="1"/>
  <c r="H62" i="1" s="1"/>
  <c r="K62" i="1" s="1"/>
  <c r="I62" i="1" s="1"/>
  <c r="G63" i="1"/>
  <c r="H63" i="1" s="1"/>
  <c r="K63" i="1" s="1"/>
  <c r="I63" i="1" s="1"/>
  <c r="G64" i="1"/>
  <c r="H64" i="1" s="1"/>
  <c r="K64" i="1" s="1"/>
  <c r="I64" i="1" s="1"/>
  <c r="G65" i="1"/>
  <c r="H65" i="1" s="1"/>
  <c r="K65" i="1" s="1"/>
  <c r="I65" i="1" s="1"/>
  <c r="G66" i="1"/>
  <c r="H66" i="1" s="1"/>
  <c r="K66" i="1" s="1"/>
  <c r="I66" i="1" s="1"/>
  <c r="G67" i="1"/>
  <c r="H67" i="1" s="1"/>
  <c r="K67" i="1" s="1"/>
  <c r="I67" i="1" s="1"/>
  <c r="G68" i="1"/>
  <c r="H68" i="1" s="1"/>
  <c r="K68" i="1" s="1"/>
  <c r="I68" i="1" s="1"/>
  <c r="G69" i="1"/>
  <c r="H69" i="1" s="1"/>
  <c r="K69" i="1" s="1"/>
  <c r="I69" i="1" s="1"/>
  <c r="G70" i="1"/>
  <c r="H70" i="1" s="1"/>
  <c r="K70" i="1" s="1"/>
  <c r="I70" i="1" s="1"/>
  <c r="G71" i="1"/>
  <c r="H71" i="1" s="1"/>
  <c r="K71" i="1" s="1"/>
  <c r="I71" i="1" s="1"/>
  <c r="G72" i="1"/>
  <c r="H72" i="1" s="1"/>
  <c r="K72" i="1" s="1"/>
  <c r="I72" i="1" s="1"/>
  <c r="G73" i="1"/>
  <c r="H73" i="1" s="1"/>
  <c r="K73" i="1" s="1"/>
  <c r="I73" i="1" s="1"/>
  <c r="G74" i="1"/>
  <c r="H74" i="1" s="1"/>
  <c r="K74" i="1" s="1"/>
  <c r="I74" i="1" s="1"/>
  <c r="G75" i="1"/>
  <c r="H75" i="1" s="1"/>
  <c r="K75" i="1" s="1"/>
  <c r="I75" i="1" s="1"/>
  <c r="G76" i="1"/>
  <c r="H76" i="1" s="1"/>
  <c r="K76" i="1" s="1"/>
  <c r="I76" i="1" s="1"/>
  <c r="G77" i="1"/>
  <c r="H77" i="1" s="1"/>
  <c r="K77" i="1" s="1"/>
  <c r="I77" i="1" s="1"/>
  <c r="G78" i="1"/>
  <c r="H78" i="1" s="1"/>
  <c r="K78" i="1" s="1"/>
  <c r="I78" i="1" s="1"/>
  <c r="G79" i="1"/>
  <c r="H79" i="1" s="1"/>
  <c r="K79" i="1" s="1"/>
  <c r="I79" i="1" s="1"/>
  <c r="G80" i="1"/>
  <c r="H80" i="1" s="1"/>
  <c r="K80" i="1" s="1"/>
  <c r="I80" i="1" s="1"/>
  <c r="G81" i="1"/>
  <c r="H81" i="1" s="1"/>
  <c r="K81" i="1" s="1"/>
  <c r="I81" i="1" s="1"/>
  <c r="G82" i="1"/>
  <c r="H82" i="1" s="1"/>
  <c r="K82" i="1" s="1"/>
  <c r="I82" i="1" s="1"/>
  <c r="G83" i="1"/>
  <c r="H83" i="1" s="1"/>
  <c r="K83" i="1" s="1"/>
  <c r="I83" i="1" s="1"/>
  <c r="G84" i="1"/>
  <c r="H84" i="1" s="1"/>
  <c r="K84" i="1" s="1"/>
  <c r="I84" i="1" s="1"/>
  <c r="G85" i="1"/>
  <c r="H85" i="1" s="1"/>
  <c r="K85" i="1" s="1"/>
  <c r="I85" i="1" s="1"/>
  <c r="G86" i="1"/>
  <c r="H86" i="1" s="1"/>
  <c r="K86" i="1" s="1"/>
  <c r="I86" i="1" s="1"/>
  <c r="G87" i="1"/>
  <c r="H87" i="1" s="1"/>
  <c r="K87" i="1" s="1"/>
  <c r="I87" i="1" s="1"/>
  <c r="G88" i="1"/>
  <c r="H88" i="1" s="1"/>
  <c r="K88" i="1" s="1"/>
  <c r="I88" i="1" s="1"/>
  <c r="G89" i="1"/>
  <c r="H89" i="1" s="1"/>
  <c r="K89" i="1" s="1"/>
  <c r="I89" i="1" s="1"/>
  <c r="G90" i="1"/>
  <c r="H90" i="1" s="1"/>
  <c r="K90" i="1" s="1"/>
  <c r="I90" i="1" s="1"/>
  <c r="G91" i="1"/>
  <c r="H91" i="1" s="1"/>
  <c r="K91" i="1" s="1"/>
  <c r="I91" i="1" s="1"/>
  <c r="G92" i="1"/>
  <c r="H92" i="1" s="1"/>
  <c r="K92" i="1" s="1"/>
  <c r="I92" i="1" s="1"/>
  <c r="G93" i="1"/>
  <c r="H93" i="1" s="1"/>
  <c r="K93" i="1" s="1"/>
  <c r="I93" i="1" s="1"/>
  <c r="G94" i="1"/>
  <c r="H94" i="1" s="1"/>
  <c r="K94" i="1" s="1"/>
  <c r="I94" i="1" s="1"/>
  <c r="G95" i="1"/>
  <c r="H95" i="1" s="1"/>
  <c r="K95" i="1" s="1"/>
  <c r="I95" i="1" s="1"/>
  <c r="G96" i="1"/>
  <c r="H96" i="1" s="1"/>
  <c r="K96" i="1" s="1"/>
  <c r="I96" i="1" s="1"/>
  <c r="G97" i="1"/>
  <c r="H97" i="1" s="1"/>
  <c r="K97" i="1" s="1"/>
  <c r="I97" i="1" s="1"/>
  <c r="G98" i="1"/>
  <c r="H98" i="1" s="1"/>
  <c r="K98" i="1" s="1"/>
  <c r="I98" i="1" s="1"/>
  <c r="G99" i="1"/>
  <c r="H99" i="1" s="1"/>
  <c r="K99" i="1" s="1"/>
  <c r="I99" i="1" s="1"/>
  <c r="G100" i="1"/>
  <c r="H100" i="1" s="1"/>
  <c r="K100" i="1" s="1"/>
  <c r="I100" i="1" s="1"/>
  <c r="G101" i="1"/>
  <c r="H101" i="1" s="1"/>
  <c r="K101" i="1" s="1"/>
  <c r="I101" i="1" s="1"/>
  <c r="G102" i="1"/>
  <c r="H102" i="1" s="1"/>
  <c r="K102" i="1" s="1"/>
  <c r="I102" i="1" s="1"/>
  <c r="G103" i="1"/>
  <c r="H103" i="1" s="1"/>
  <c r="K103" i="1" s="1"/>
  <c r="I103" i="1" s="1"/>
  <c r="G104" i="1"/>
  <c r="H104" i="1" s="1"/>
  <c r="K104" i="1" s="1"/>
  <c r="I104" i="1" s="1"/>
  <c r="G105" i="1"/>
  <c r="H105" i="1" s="1"/>
  <c r="K105" i="1" s="1"/>
  <c r="I105" i="1" s="1"/>
  <c r="G106" i="1"/>
  <c r="H106" i="1" s="1"/>
  <c r="K106" i="1" s="1"/>
  <c r="I106" i="1" s="1"/>
  <c r="G107" i="1"/>
  <c r="H107" i="1" s="1"/>
  <c r="K107" i="1" s="1"/>
  <c r="I107" i="1" s="1"/>
  <c r="G108" i="1"/>
  <c r="H108" i="1" s="1"/>
  <c r="K108" i="1" s="1"/>
  <c r="I108" i="1" s="1"/>
  <c r="G109" i="1"/>
  <c r="H109" i="1" s="1"/>
  <c r="K109" i="1" s="1"/>
  <c r="I109" i="1" s="1"/>
  <c r="G110" i="1"/>
  <c r="H110" i="1" s="1"/>
  <c r="K110" i="1" s="1"/>
  <c r="I110" i="1" s="1"/>
  <c r="G111" i="1"/>
  <c r="H111" i="1" s="1"/>
  <c r="K111" i="1" s="1"/>
  <c r="I111" i="1" s="1"/>
  <c r="G112" i="1"/>
  <c r="H112" i="1" s="1"/>
  <c r="K112" i="1" s="1"/>
  <c r="I112" i="1" s="1"/>
  <c r="G113" i="1"/>
  <c r="H113" i="1" s="1"/>
  <c r="K113" i="1" s="1"/>
  <c r="I113" i="1" s="1"/>
  <c r="G114" i="1"/>
  <c r="H114" i="1" s="1"/>
  <c r="K114" i="1" s="1"/>
  <c r="I114" i="1" s="1"/>
  <c r="G115" i="1"/>
  <c r="H115" i="1" s="1"/>
  <c r="K115" i="1" s="1"/>
  <c r="I115" i="1" s="1"/>
  <c r="G116" i="1"/>
  <c r="H116" i="1" s="1"/>
  <c r="K116" i="1" s="1"/>
  <c r="I116" i="1" s="1"/>
  <c r="G117" i="1"/>
  <c r="H117" i="1" s="1"/>
  <c r="K117" i="1" s="1"/>
  <c r="I117" i="1" s="1"/>
  <c r="G118" i="1"/>
  <c r="H118" i="1" s="1"/>
  <c r="K118" i="1" s="1"/>
  <c r="I118" i="1" s="1"/>
  <c r="G119" i="1"/>
  <c r="H119" i="1" s="1"/>
  <c r="K119" i="1" s="1"/>
  <c r="I119" i="1" s="1"/>
  <c r="G120" i="1"/>
  <c r="H120" i="1" s="1"/>
  <c r="K120" i="1" s="1"/>
  <c r="I120" i="1" s="1"/>
  <c r="G121" i="1"/>
  <c r="H121" i="1" s="1"/>
  <c r="K121" i="1" s="1"/>
  <c r="I121" i="1" s="1"/>
  <c r="G122" i="1"/>
  <c r="H122" i="1" s="1"/>
  <c r="K122" i="1" s="1"/>
  <c r="I122" i="1" s="1"/>
  <c r="G123" i="1"/>
  <c r="H123" i="1" s="1"/>
  <c r="K123" i="1" s="1"/>
  <c r="I123" i="1" s="1"/>
  <c r="G124" i="1"/>
  <c r="H124" i="1" s="1"/>
  <c r="K124" i="1" s="1"/>
  <c r="I124" i="1" s="1"/>
  <c r="G125" i="1"/>
  <c r="H125" i="1" s="1"/>
  <c r="K125" i="1" s="1"/>
  <c r="I125" i="1" s="1"/>
  <c r="G126" i="1"/>
  <c r="H126" i="1" s="1"/>
  <c r="K126" i="1" s="1"/>
  <c r="I126" i="1" s="1"/>
  <c r="G127" i="1"/>
  <c r="H127" i="1" s="1"/>
  <c r="K127" i="1" s="1"/>
  <c r="I127" i="1" s="1"/>
  <c r="G128" i="1"/>
  <c r="H128" i="1" s="1"/>
  <c r="K128" i="1" s="1"/>
  <c r="I128" i="1" s="1"/>
  <c r="G129" i="1"/>
  <c r="H129" i="1" s="1"/>
  <c r="K129" i="1" s="1"/>
  <c r="I129" i="1" s="1"/>
  <c r="G130" i="1"/>
  <c r="H130" i="1" s="1"/>
  <c r="K130" i="1" s="1"/>
  <c r="I130" i="1" s="1"/>
  <c r="G131" i="1"/>
  <c r="H131" i="1" s="1"/>
  <c r="K131" i="1" s="1"/>
  <c r="I131" i="1" s="1"/>
  <c r="G132" i="1"/>
  <c r="H132" i="1" s="1"/>
  <c r="K132" i="1" s="1"/>
  <c r="I132" i="1" s="1"/>
  <c r="G133" i="1"/>
  <c r="H133" i="1" s="1"/>
  <c r="K133" i="1" s="1"/>
  <c r="I133" i="1" s="1"/>
  <c r="G134" i="1"/>
  <c r="H134" i="1" s="1"/>
  <c r="K134" i="1" s="1"/>
  <c r="I134" i="1" s="1"/>
  <c r="G135" i="1"/>
  <c r="H135" i="1" s="1"/>
  <c r="K135" i="1" s="1"/>
  <c r="I135" i="1" s="1"/>
  <c r="G136" i="1"/>
  <c r="H136" i="1" s="1"/>
  <c r="K136" i="1" s="1"/>
  <c r="I136" i="1" s="1"/>
  <c r="G137" i="1"/>
  <c r="H137" i="1" s="1"/>
  <c r="K137" i="1" s="1"/>
  <c r="I137" i="1" s="1"/>
  <c r="G138" i="1"/>
  <c r="H138" i="1" s="1"/>
  <c r="K138" i="1" s="1"/>
  <c r="I138" i="1" s="1"/>
  <c r="G139" i="1"/>
  <c r="H139" i="1" s="1"/>
  <c r="K139" i="1" s="1"/>
  <c r="I139" i="1" s="1"/>
  <c r="G140" i="1"/>
  <c r="H140" i="1" s="1"/>
  <c r="K140" i="1" s="1"/>
  <c r="I140" i="1" s="1"/>
  <c r="G141" i="1"/>
  <c r="H141" i="1" s="1"/>
  <c r="K141" i="1" s="1"/>
  <c r="I141" i="1" s="1"/>
  <c r="G142" i="1"/>
  <c r="H142" i="1" s="1"/>
  <c r="K142" i="1" s="1"/>
  <c r="I142" i="1" s="1"/>
  <c r="G143" i="1"/>
  <c r="H143" i="1" s="1"/>
  <c r="K143" i="1" s="1"/>
  <c r="I143" i="1" s="1"/>
  <c r="G144" i="1"/>
  <c r="H144" i="1" s="1"/>
  <c r="K144" i="1" s="1"/>
  <c r="I144" i="1" s="1"/>
  <c r="G145" i="1"/>
  <c r="H145" i="1" s="1"/>
  <c r="K145" i="1" s="1"/>
  <c r="I145" i="1" s="1"/>
  <c r="G146" i="1"/>
  <c r="H146" i="1" s="1"/>
  <c r="K146" i="1" s="1"/>
  <c r="I146" i="1" s="1"/>
  <c r="G147" i="1"/>
  <c r="H147" i="1" s="1"/>
  <c r="K147" i="1" s="1"/>
  <c r="I147" i="1" s="1"/>
  <c r="G148" i="1"/>
  <c r="H148" i="1" s="1"/>
  <c r="K148" i="1" s="1"/>
  <c r="I148" i="1" s="1"/>
  <c r="G149" i="1"/>
  <c r="H149" i="1" s="1"/>
  <c r="K149" i="1" s="1"/>
  <c r="I149" i="1" s="1"/>
  <c r="G150" i="1"/>
  <c r="H150" i="1" s="1"/>
  <c r="K150" i="1" s="1"/>
  <c r="I150" i="1" s="1"/>
  <c r="G151" i="1"/>
  <c r="H151" i="1" s="1"/>
  <c r="K151" i="1" s="1"/>
  <c r="I151" i="1" s="1"/>
  <c r="G152" i="1"/>
  <c r="H152" i="1" s="1"/>
  <c r="K152" i="1" s="1"/>
  <c r="I152" i="1" s="1"/>
  <c r="G153" i="1"/>
  <c r="H153" i="1" s="1"/>
  <c r="K153" i="1" s="1"/>
  <c r="I153" i="1" s="1"/>
  <c r="G154" i="1"/>
  <c r="H154" i="1" s="1"/>
  <c r="K154" i="1" s="1"/>
  <c r="I154" i="1" s="1"/>
  <c r="G155" i="1"/>
  <c r="H155" i="1" s="1"/>
  <c r="K155" i="1" s="1"/>
  <c r="I155" i="1" s="1"/>
  <c r="G156" i="1"/>
  <c r="H156" i="1" s="1"/>
  <c r="K156" i="1" s="1"/>
  <c r="I156" i="1" s="1"/>
  <c r="G157" i="1"/>
  <c r="H157" i="1" s="1"/>
  <c r="K157" i="1" s="1"/>
  <c r="I157" i="1" s="1"/>
  <c r="G158" i="1"/>
  <c r="H158" i="1" s="1"/>
  <c r="K158" i="1" s="1"/>
  <c r="I158" i="1" s="1"/>
  <c r="G159" i="1"/>
  <c r="H159" i="1" s="1"/>
  <c r="K159" i="1" s="1"/>
  <c r="I159" i="1" s="1"/>
  <c r="G160" i="1"/>
  <c r="H160" i="1" s="1"/>
  <c r="K160" i="1" s="1"/>
  <c r="I160" i="1" s="1"/>
  <c r="G161" i="1"/>
  <c r="H161" i="1" s="1"/>
  <c r="K161" i="1" s="1"/>
  <c r="I161" i="1" s="1"/>
  <c r="G162" i="1"/>
  <c r="H162" i="1" s="1"/>
  <c r="K162" i="1" s="1"/>
  <c r="I162" i="1" s="1"/>
  <c r="G163" i="1"/>
  <c r="H163" i="1" s="1"/>
  <c r="K163" i="1" s="1"/>
  <c r="I163" i="1" s="1"/>
  <c r="G164" i="1"/>
  <c r="H164" i="1" s="1"/>
  <c r="K164" i="1" s="1"/>
  <c r="I164" i="1" s="1"/>
  <c r="G165" i="1"/>
  <c r="H165" i="1" s="1"/>
  <c r="K165" i="1" s="1"/>
  <c r="I165" i="1" s="1"/>
  <c r="G166" i="1"/>
  <c r="H166" i="1" s="1"/>
  <c r="K166" i="1" s="1"/>
  <c r="I166" i="1" s="1"/>
  <c r="G167" i="1"/>
  <c r="H167" i="1" s="1"/>
  <c r="K167" i="1" s="1"/>
  <c r="I167" i="1" s="1"/>
  <c r="G168" i="1"/>
  <c r="H168" i="1" s="1"/>
  <c r="K168" i="1" s="1"/>
  <c r="I168" i="1" s="1"/>
  <c r="G169" i="1"/>
  <c r="H169" i="1" s="1"/>
  <c r="K169" i="1" s="1"/>
  <c r="I169" i="1" s="1"/>
  <c r="G170" i="1"/>
  <c r="H170" i="1" s="1"/>
  <c r="K170" i="1" s="1"/>
  <c r="I170" i="1" s="1"/>
  <c r="G171" i="1"/>
  <c r="H171" i="1" s="1"/>
  <c r="K171" i="1" s="1"/>
  <c r="I171" i="1" s="1"/>
  <c r="G172" i="1"/>
  <c r="H172" i="1" s="1"/>
  <c r="K172" i="1" s="1"/>
  <c r="I172" i="1" s="1"/>
  <c r="G173" i="1"/>
  <c r="H173" i="1" s="1"/>
  <c r="K173" i="1" s="1"/>
  <c r="I173" i="1" s="1"/>
  <c r="G174" i="1"/>
  <c r="H174" i="1" s="1"/>
  <c r="K174" i="1" s="1"/>
  <c r="I174" i="1" s="1"/>
  <c r="G175" i="1"/>
  <c r="H175" i="1" s="1"/>
  <c r="K175" i="1" s="1"/>
  <c r="I175" i="1" s="1"/>
  <c r="G176" i="1"/>
  <c r="H176" i="1" s="1"/>
  <c r="K176" i="1" s="1"/>
  <c r="I176" i="1" s="1"/>
  <c r="G177" i="1"/>
  <c r="H177" i="1" s="1"/>
  <c r="K177" i="1" s="1"/>
  <c r="I177" i="1" s="1"/>
  <c r="G178" i="1"/>
  <c r="H178" i="1" s="1"/>
  <c r="K178" i="1" s="1"/>
  <c r="I178" i="1" s="1"/>
  <c r="G179" i="1"/>
  <c r="H179" i="1" s="1"/>
  <c r="K179" i="1" s="1"/>
  <c r="I179" i="1" s="1"/>
  <c r="G180" i="1"/>
  <c r="H180" i="1" s="1"/>
  <c r="K180" i="1" s="1"/>
  <c r="I180" i="1" s="1"/>
  <c r="G181" i="1"/>
  <c r="H181" i="1" s="1"/>
  <c r="K181" i="1" s="1"/>
  <c r="I181" i="1" s="1"/>
  <c r="G182" i="1"/>
  <c r="H182" i="1" s="1"/>
  <c r="K182" i="1" s="1"/>
  <c r="I182" i="1" s="1"/>
  <c r="G183" i="1"/>
  <c r="H183" i="1" s="1"/>
  <c r="K183" i="1" s="1"/>
  <c r="I183" i="1" s="1"/>
  <c r="G184" i="1"/>
  <c r="H184" i="1" s="1"/>
  <c r="K184" i="1" s="1"/>
  <c r="I184" i="1" s="1"/>
  <c r="G185" i="1"/>
  <c r="H185" i="1" s="1"/>
  <c r="K185" i="1" s="1"/>
  <c r="I185" i="1" s="1"/>
  <c r="G186" i="1"/>
  <c r="H186" i="1" s="1"/>
  <c r="K186" i="1" s="1"/>
  <c r="I186" i="1" s="1"/>
  <c r="G187" i="1"/>
  <c r="H187" i="1" s="1"/>
  <c r="K187" i="1" s="1"/>
  <c r="I187" i="1" s="1"/>
  <c r="G188" i="1"/>
  <c r="H188" i="1" s="1"/>
  <c r="K188" i="1" s="1"/>
  <c r="I188" i="1" s="1"/>
  <c r="G189" i="1"/>
  <c r="H189" i="1" s="1"/>
  <c r="K189" i="1" s="1"/>
  <c r="I189" i="1" s="1"/>
  <c r="G190" i="1"/>
  <c r="H190" i="1" s="1"/>
  <c r="K190" i="1" s="1"/>
  <c r="I190" i="1" s="1"/>
  <c r="G191" i="1"/>
  <c r="H191" i="1" s="1"/>
  <c r="K191" i="1" s="1"/>
  <c r="I191" i="1" s="1"/>
  <c r="G192" i="1"/>
  <c r="H192" i="1" s="1"/>
  <c r="K192" i="1" s="1"/>
  <c r="I192" i="1" s="1"/>
  <c r="G193" i="1"/>
  <c r="H193" i="1" s="1"/>
  <c r="K193" i="1" s="1"/>
  <c r="I193" i="1" s="1"/>
  <c r="G194" i="1"/>
  <c r="H194" i="1" s="1"/>
  <c r="K194" i="1" s="1"/>
  <c r="I194" i="1" s="1"/>
  <c r="G195" i="1"/>
  <c r="H195" i="1" s="1"/>
  <c r="K195" i="1" s="1"/>
  <c r="I195" i="1" s="1"/>
  <c r="G196" i="1"/>
  <c r="H196" i="1" s="1"/>
  <c r="K196" i="1" s="1"/>
  <c r="I196" i="1" s="1"/>
  <c r="G197" i="1"/>
  <c r="H197" i="1" s="1"/>
  <c r="K197" i="1" s="1"/>
  <c r="I197" i="1" s="1"/>
  <c r="G198" i="1"/>
  <c r="H198" i="1" s="1"/>
  <c r="K198" i="1" s="1"/>
  <c r="I198" i="1" s="1"/>
  <c r="G199" i="1"/>
  <c r="H199" i="1" s="1"/>
  <c r="K199" i="1" s="1"/>
  <c r="I199" i="1" s="1"/>
  <c r="G200" i="1"/>
  <c r="H200" i="1" s="1"/>
  <c r="K200" i="1" s="1"/>
  <c r="I200" i="1" s="1"/>
  <c r="G201" i="1"/>
  <c r="H201" i="1" s="1"/>
  <c r="K201" i="1" s="1"/>
  <c r="I201" i="1" s="1"/>
  <c r="G2" i="1"/>
  <c r="H2" i="1" s="1"/>
  <c r="K2" i="1" s="1"/>
  <c r="I2" i="1" s="1"/>
  <c r="E3" i="1"/>
  <c r="F3" i="1" s="1"/>
  <c r="J3" i="1" s="1"/>
  <c r="E4" i="1"/>
  <c r="F4" i="1" s="1"/>
  <c r="J4" i="1" s="1"/>
  <c r="E5" i="1"/>
  <c r="F5" i="1" s="1"/>
  <c r="J5" i="1" s="1"/>
  <c r="E6" i="1"/>
  <c r="F6" i="1" s="1"/>
  <c r="J6" i="1" s="1"/>
  <c r="E7" i="1"/>
  <c r="F7" i="1" s="1"/>
  <c r="J7" i="1" s="1"/>
  <c r="E8" i="1"/>
  <c r="F8" i="1" s="1"/>
  <c r="J8" i="1" s="1"/>
  <c r="E9" i="1"/>
  <c r="F9" i="1" s="1"/>
  <c r="J9" i="1" s="1"/>
  <c r="E10" i="1"/>
  <c r="F10" i="1" s="1"/>
  <c r="J10" i="1" s="1"/>
  <c r="E11" i="1"/>
  <c r="F11" i="1" s="1"/>
  <c r="J11" i="1" s="1"/>
  <c r="E12" i="1"/>
  <c r="F12" i="1" s="1"/>
  <c r="J12" i="1" s="1"/>
  <c r="E13" i="1"/>
  <c r="F13" i="1" s="1"/>
  <c r="J13" i="1" s="1"/>
  <c r="E14" i="1"/>
  <c r="F14" i="1" s="1"/>
  <c r="J14" i="1" s="1"/>
  <c r="E15" i="1"/>
  <c r="F15" i="1" s="1"/>
  <c r="J15" i="1" s="1"/>
  <c r="E16" i="1"/>
  <c r="F16" i="1" s="1"/>
  <c r="J16" i="1" s="1"/>
  <c r="E17" i="1"/>
  <c r="F17" i="1" s="1"/>
  <c r="J17" i="1" s="1"/>
  <c r="E18" i="1"/>
  <c r="F18" i="1" s="1"/>
  <c r="J18" i="1" s="1"/>
  <c r="E19" i="1"/>
  <c r="F19" i="1" s="1"/>
  <c r="J19" i="1" s="1"/>
  <c r="E20" i="1"/>
  <c r="F20" i="1" s="1"/>
  <c r="J20" i="1" s="1"/>
  <c r="E21" i="1"/>
  <c r="F21" i="1" s="1"/>
  <c r="J21" i="1" s="1"/>
  <c r="E22" i="1"/>
  <c r="F22" i="1" s="1"/>
  <c r="J22" i="1" s="1"/>
  <c r="E23" i="1"/>
  <c r="F23" i="1" s="1"/>
  <c r="J23" i="1" s="1"/>
  <c r="E24" i="1"/>
  <c r="F24" i="1" s="1"/>
  <c r="J24" i="1" s="1"/>
  <c r="E25" i="1"/>
  <c r="F25" i="1" s="1"/>
  <c r="J25" i="1" s="1"/>
  <c r="E26" i="1"/>
  <c r="F26" i="1" s="1"/>
  <c r="J26" i="1" s="1"/>
  <c r="E27" i="1"/>
  <c r="F27" i="1" s="1"/>
  <c r="J27" i="1" s="1"/>
  <c r="E28" i="1"/>
  <c r="F28" i="1" s="1"/>
  <c r="J28" i="1" s="1"/>
  <c r="E29" i="1"/>
  <c r="F29" i="1" s="1"/>
  <c r="J29" i="1" s="1"/>
  <c r="E30" i="1"/>
  <c r="F30" i="1" s="1"/>
  <c r="J30" i="1" s="1"/>
  <c r="E31" i="1"/>
  <c r="F31" i="1" s="1"/>
  <c r="J31" i="1" s="1"/>
  <c r="E32" i="1"/>
  <c r="F32" i="1" s="1"/>
  <c r="J32" i="1" s="1"/>
  <c r="E33" i="1"/>
  <c r="F33" i="1" s="1"/>
  <c r="J33" i="1" s="1"/>
  <c r="E34" i="1"/>
  <c r="F34" i="1" s="1"/>
  <c r="J34" i="1" s="1"/>
  <c r="E35" i="1"/>
  <c r="F35" i="1" s="1"/>
  <c r="J35" i="1" s="1"/>
  <c r="E36" i="1"/>
  <c r="F36" i="1" s="1"/>
  <c r="J36" i="1" s="1"/>
  <c r="E37" i="1"/>
  <c r="F37" i="1" s="1"/>
  <c r="J37" i="1" s="1"/>
  <c r="E38" i="1"/>
  <c r="F38" i="1" s="1"/>
  <c r="J38" i="1" s="1"/>
  <c r="E39" i="1"/>
  <c r="F39" i="1" s="1"/>
  <c r="J39" i="1" s="1"/>
  <c r="E40" i="1"/>
  <c r="F40" i="1" s="1"/>
  <c r="J40" i="1" s="1"/>
  <c r="E41" i="1"/>
  <c r="F41" i="1" s="1"/>
  <c r="J41" i="1" s="1"/>
  <c r="E42" i="1"/>
  <c r="F42" i="1" s="1"/>
  <c r="J42" i="1" s="1"/>
  <c r="E43" i="1"/>
  <c r="F43" i="1" s="1"/>
  <c r="J43" i="1" s="1"/>
  <c r="E44" i="1"/>
  <c r="F44" i="1" s="1"/>
  <c r="J44" i="1" s="1"/>
  <c r="E45" i="1"/>
  <c r="F45" i="1" s="1"/>
  <c r="J45" i="1" s="1"/>
  <c r="E46" i="1"/>
  <c r="F46" i="1" s="1"/>
  <c r="J46" i="1" s="1"/>
  <c r="E47" i="1"/>
  <c r="F47" i="1" s="1"/>
  <c r="J47" i="1" s="1"/>
  <c r="E48" i="1"/>
  <c r="F48" i="1" s="1"/>
  <c r="J48" i="1" s="1"/>
  <c r="E49" i="1"/>
  <c r="F49" i="1" s="1"/>
  <c r="J49" i="1" s="1"/>
  <c r="E50" i="1"/>
  <c r="F50" i="1" s="1"/>
  <c r="J50" i="1" s="1"/>
  <c r="E51" i="1"/>
  <c r="F51" i="1" s="1"/>
  <c r="J51" i="1" s="1"/>
  <c r="E52" i="1"/>
  <c r="F52" i="1" s="1"/>
  <c r="J52" i="1" s="1"/>
  <c r="E53" i="1"/>
  <c r="F53" i="1" s="1"/>
  <c r="J53" i="1" s="1"/>
  <c r="E54" i="1"/>
  <c r="F54" i="1" s="1"/>
  <c r="J54" i="1" s="1"/>
  <c r="E55" i="1"/>
  <c r="F55" i="1" s="1"/>
  <c r="J55" i="1" s="1"/>
  <c r="E56" i="1"/>
  <c r="F56" i="1" s="1"/>
  <c r="J56" i="1" s="1"/>
  <c r="E57" i="1"/>
  <c r="F57" i="1" s="1"/>
  <c r="J57" i="1" s="1"/>
  <c r="E58" i="1"/>
  <c r="F58" i="1" s="1"/>
  <c r="J58" i="1" s="1"/>
  <c r="E59" i="1"/>
  <c r="F59" i="1" s="1"/>
  <c r="J59" i="1" s="1"/>
  <c r="E60" i="1"/>
  <c r="F60" i="1" s="1"/>
  <c r="J60" i="1" s="1"/>
  <c r="E61" i="1"/>
  <c r="F61" i="1" s="1"/>
  <c r="J61" i="1" s="1"/>
  <c r="E62" i="1"/>
  <c r="F62" i="1" s="1"/>
  <c r="J62" i="1" s="1"/>
  <c r="E63" i="1"/>
  <c r="F63" i="1" s="1"/>
  <c r="J63" i="1" s="1"/>
  <c r="E64" i="1"/>
  <c r="F64" i="1" s="1"/>
  <c r="J64" i="1" s="1"/>
  <c r="E65" i="1"/>
  <c r="F65" i="1" s="1"/>
  <c r="J65" i="1" s="1"/>
  <c r="E66" i="1"/>
  <c r="F66" i="1" s="1"/>
  <c r="J66" i="1" s="1"/>
  <c r="E67" i="1"/>
  <c r="F67" i="1" s="1"/>
  <c r="J67" i="1" s="1"/>
  <c r="E68" i="1"/>
  <c r="F68" i="1" s="1"/>
  <c r="J68" i="1" s="1"/>
  <c r="E69" i="1"/>
  <c r="F69" i="1" s="1"/>
  <c r="J69" i="1" s="1"/>
  <c r="E70" i="1"/>
  <c r="F70" i="1" s="1"/>
  <c r="J70" i="1" s="1"/>
  <c r="E71" i="1"/>
  <c r="F71" i="1" s="1"/>
  <c r="J71" i="1" s="1"/>
  <c r="E72" i="1"/>
  <c r="F72" i="1" s="1"/>
  <c r="J72" i="1" s="1"/>
  <c r="E73" i="1"/>
  <c r="F73" i="1" s="1"/>
  <c r="J73" i="1" s="1"/>
  <c r="E74" i="1"/>
  <c r="F74" i="1" s="1"/>
  <c r="J74" i="1" s="1"/>
  <c r="E75" i="1"/>
  <c r="F75" i="1" s="1"/>
  <c r="J75" i="1" s="1"/>
  <c r="E76" i="1"/>
  <c r="F76" i="1" s="1"/>
  <c r="J76" i="1" s="1"/>
  <c r="E77" i="1"/>
  <c r="F77" i="1" s="1"/>
  <c r="J77" i="1" s="1"/>
  <c r="E78" i="1"/>
  <c r="F78" i="1" s="1"/>
  <c r="J78" i="1" s="1"/>
  <c r="E79" i="1"/>
  <c r="F79" i="1" s="1"/>
  <c r="J79" i="1" s="1"/>
  <c r="E80" i="1"/>
  <c r="F80" i="1" s="1"/>
  <c r="J80" i="1" s="1"/>
  <c r="E81" i="1"/>
  <c r="F81" i="1" s="1"/>
  <c r="J81" i="1" s="1"/>
  <c r="E82" i="1"/>
  <c r="F82" i="1" s="1"/>
  <c r="J82" i="1" s="1"/>
  <c r="E83" i="1"/>
  <c r="F83" i="1" s="1"/>
  <c r="J83" i="1" s="1"/>
  <c r="E84" i="1"/>
  <c r="F84" i="1" s="1"/>
  <c r="J84" i="1" s="1"/>
  <c r="E85" i="1"/>
  <c r="F85" i="1" s="1"/>
  <c r="J85" i="1" s="1"/>
  <c r="E86" i="1"/>
  <c r="F86" i="1" s="1"/>
  <c r="J86" i="1" s="1"/>
  <c r="E87" i="1"/>
  <c r="F87" i="1" s="1"/>
  <c r="J87" i="1" s="1"/>
  <c r="E88" i="1"/>
  <c r="F88" i="1" s="1"/>
  <c r="J88" i="1" s="1"/>
  <c r="E89" i="1"/>
  <c r="F89" i="1" s="1"/>
  <c r="J89" i="1" s="1"/>
  <c r="E90" i="1"/>
  <c r="F90" i="1" s="1"/>
  <c r="J90" i="1" s="1"/>
  <c r="E91" i="1"/>
  <c r="F91" i="1" s="1"/>
  <c r="J91" i="1" s="1"/>
  <c r="E92" i="1"/>
  <c r="F92" i="1" s="1"/>
  <c r="J92" i="1" s="1"/>
  <c r="E93" i="1"/>
  <c r="F93" i="1" s="1"/>
  <c r="J93" i="1" s="1"/>
  <c r="E94" i="1"/>
  <c r="F94" i="1" s="1"/>
  <c r="J94" i="1" s="1"/>
  <c r="E95" i="1"/>
  <c r="F95" i="1" s="1"/>
  <c r="J95" i="1" s="1"/>
  <c r="E96" i="1"/>
  <c r="F96" i="1" s="1"/>
  <c r="J96" i="1" s="1"/>
  <c r="E97" i="1"/>
  <c r="F97" i="1" s="1"/>
  <c r="J97" i="1" s="1"/>
  <c r="E98" i="1"/>
  <c r="F98" i="1" s="1"/>
  <c r="J98" i="1" s="1"/>
  <c r="E99" i="1"/>
  <c r="F99" i="1" s="1"/>
  <c r="J99" i="1" s="1"/>
  <c r="E100" i="1"/>
  <c r="F100" i="1" s="1"/>
  <c r="J100" i="1" s="1"/>
  <c r="E101" i="1"/>
  <c r="F101" i="1" s="1"/>
  <c r="J101" i="1" s="1"/>
  <c r="E102" i="1"/>
  <c r="F102" i="1" s="1"/>
  <c r="J102" i="1" s="1"/>
  <c r="E103" i="1"/>
  <c r="F103" i="1" s="1"/>
  <c r="J103" i="1" s="1"/>
  <c r="E104" i="1"/>
  <c r="F104" i="1" s="1"/>
  <c r="J104" i="1" s="1"/>
  <c r="E105" i="1"/>
  <c r="F105" i="1" s="1"/>
  <c r="J105" i="1" s="1"/>
  <c r="E106" i="1"/>
  <c r="F106" i="1" s="1"/>
  <c r="J106" i="1" s="1"/>
  <c r="E107" i="1"/>
  <c r="F107" i="1" s="1"/>
  <c r="J107" i="1" s="1"/>
  <c r="E108" i="1"/>
  <c r="F108" i="1" s="1"/>
  <c r="J108" i="1" s="1"/>
  <c r="E109" i="1"/>
  <c r="F109" i="1" s="1"/>
  <c r="J109" i="1" s="1"/>
  <c r="E110" i="1"/>
  <c r="F110" i="1" s="1"/>
  <c r="J110" i="1" s="1"/>
  <c r="E111" i="1"/>
  <c r="F111" i="1" s="1"/>
  <c r="J111" i="1" s="1"/>
  <c r="E112" i="1"/>
  <c r="F112" i="1" s="1"/>
  <c r="J112" i="1" s="1"/>
  <c r="E113" i="1"/>
  <c r="F113" i="1" s="1"/>
  <c r="J113" i="1" s="1"/>
  <c r="E114" i="1"/>
  <c r="F114" i="1" s="1"/>
  <c r="J114" i="1" s="1"/>
  <c r="E115" i="1"/>
  <c r="F115" i="1" s="1"/>
  <c r="J115" i="1" s="1"/>
  <c r="E116" i="1"/>
  <c r="F116" i="1" s="1"/>
  <c r="J116" i="1" s="1"/>
  <c r="E117" i="1"/>
  <c r="F117" i="1" s="1"/>
  <c r="J117" i="1" s="1"/>
  <c r="E118" i="1"/>
  <c r="F118" i="1" s="1"/>
  <c r="J118" i="1" s="1"/>
  <c r="E119" i="1"/>
  <c r="F119" i="1" s="1"/>
  <c r="J119" i="1" s="1"/>
  <c r="E120" i="1"/>
  <c r="F120" i="1" s="1"/>
  <c r="J120" i="1" s="1"/>
  <c r="E121" i="1"/>
  <c r="F121" i="1" s="1"/>
  <c r="J121" i="1" s="1"/>
  <c r="E122" i="1"/>
  <c r="F122" i="1" s="1"/>
  <c r="J122" i="1" s="1"/>
  <c r="E123" i="1"/>
  <c r="F123" i="1" s="1"/>
  <c r="J123" i="1" s="1"/>
  <c r="E124" i="1"/>
  <c r="F124" i="1" s="1"/>
  <c r="J124" i="1" s="1"/>
  <c r="E125" i="1"/>
  <c r="F125" i="1" s="1"/>
  <c r="J125" i="1" s="1"/>
  <c r="E126" i="1"/>
  <c r="F126" i="1" s="1"/>
  <c r="J126" i="1" s="1"/>
  <c r="E127" i="1"/>
  <c r="F127" i="1" s="1"/>
  <c r="J127" i="1" s="1"/>
  <c r="E128" i="1"/>
  <c r="F128" i="1" s="1"/>
  <c r="J128" i="1" s="1"/>
  <c r="E129" i="1"/>
  <c r="F129" i="1" s="1"/>
  <c r="J129" i="1" s="1"/>
  <c r="E130" i="1"/>
  <c r="F130" i="1" s="1"/>
  <c r="J130" i="1" s="1"/>
  <c r="E131" i="1"/>
  <c r="F131" i="1" s="1"/>
  <c r="J131" i="1" s="1"/>
  <c r="E132" i="1"/>
  <c r="F132" i="1" s="1"/>
  <c r="J132" i="1" s="1"/>
  <c r="E133" i="1"/>
  <c r="F133" i="1" s="1"/>
  <c r="J133" i="1" s="1"/>
  <c r="E134" i="1"/>
  <c r="F134" i="1" s="1"/>
  <c r="J134" i="1" s="1"/>
  <c r="E135" i="1"/>
  <c r="F135" i="1" s="1"/>
  <c r="J135" i="1" s="1"/>
  <c r="E136" i="1"/>
  <c r="F136" i="1" s="1"/>
  <c r="J136" i="1" s="1"/>
  <c r="E137" i="1"/>
  <c r="F137" i="1" s="1"/>
  <c r="J137" i="1" s="1"/>
  <c r="E138" i="1"/>
  <c r="F138" i="1" s="1"/>
  <c r="J138" i="1" s="1"/>
  <c r="E139" i="1"/>
  <c r="F139" i="1" s="1"/>
  <c r="J139" i="1" s="1"/>
  <c r="E140" i="1"/>
  <c r="F140" i="1" s="1"/>
  <c r="J140" i="1" s="1"/>
  <c r="E141" i="1"/>
  <c r="F141" i="1" s="1"/>
  <c r="J141" i="1" s="1"/>
  <c r="E142" i="1"/>
  <c r="F142" i="1" s="1"/>
  <c r="J142" i="1" s="1"/>
  <c r="E143" i="1"/>
  <c r="F143" i="1" s="1"/>
  <c r="J143" i="1" s="1"/>
  <c r="E144" i="1"/>
  <c r="F144" i="1" s="1"/>
  <c r="J144" i="1" s="1"/>
  <c r="E145" i="1"/>
  <c r="F145" i="1" s="1"/>
  <c r="J145" i="1" s="1"/>
  <c r="E146" i="1"/>
  <c r="F146" i="1" s="1"/>
  <c r="J146" i="1" s="1"/>
  <c r="E147" i="1"/>
  <c r="F147" i="1" s="1"/>
  <c r="J147" i="1" s="1"/>
  <c r="E148" i="1"/>
  <c r="F148" i="1" s="1"/>
  <c r="J148" i="1" s="1"/>
  <c r="E149" i="1"/>
  <c r="F149" i="1" s="1"/>
  <c r="J149" i="1" s="1"/>
  <c r="E150" i="1"/>
  <c r="F150" i="1" s="1"/>
  <c r="J150" i="1" s="1"/>
  <c r="E151" i="1"/>
  <c r="F151" i="1" s="1"/>
  <c r="J151" i="1" s="1"/>
  <c r="E152" i="1"/>
  <c r="F152" i="1" s="1"/>
  <c r="J152" i="1" s="1"/>
  <c r="E153" i="1"/>
  <c r="F153" i="1" s="1"/>
  <c r="J153" i="1" s="1"/>
  <c r="E154" i="1"/>
  <c r="F154" i="1" s="1"/>
  <c r="J154" i="1" s="1"/>
  <c r="E155" i="1"/>
  <c r="F155" i="1" s="1"/>
  <c r="J155" i="1" s="1"/>
  <c r="E156" i="1"/>
  <c r="F156" i="1" s="1"/>
  <c r="J156" i="1" s="1"/>
  <c r="E157" i="1"/>
  <c r="F157" i="1" s="1"/>
  <c r="J157" i="1" s="1"/>
  <c r="E158" i="1"/>
  <c r="F158" i="1" s="1"/>
  <c r="J158" i="1" s="1"/>
  <c r="E159" i="1"/>
  <c r="F159" i="1" s="1"/>
  <c r="J159" i="1" s="1"/>
  <c r="E160" i="1"/>
  <c r="F160" i="1" s="1"/>
  <c r="J160" i="1" s="1"/>
  <c r="E161" i="1"/>
  <c r="F161" i="1" s="1"/>
  <c r="J161" i="1" s="1"/>
  <c r="E162" i="1"/>
  <c r="F162" i="1" s="1"/>
  <c r="J162" i="1" s="1"/>
  <c r="E163" i="1"/>
  <c r="F163" i="1" s="1"/>
  <c r="J163" i="1" s="1"/>
  <c r="E164" i="1"/>
  <c r="F164" i="1" s="1"/>
  <c r="J164" i="1" s="1"/>
  <c r="E165" i="1"/>
  <c r="F165" i="1" s="1"/>
  <c r="J165" i="1" s="1"/>
  <c r="E166" i="1"/>
  <c r="F166" i="1" s="1"/>
  <c r="J166" i="1" s="1"/>
  <c r="E167" i="1"/>
  <c r="F167" i="1" s="1"/>
  <c r="J167" i="1" s="1"/>
  <c r="E168" i="1"/>
  <c r="F168" i="1" s="1"/>
  <c r="J168" i="1" s="1"/>
  <c r="E169" i="1"/>
  <c r="F169" i="1" s="1"/>
  <c r="J169" i="1" s="1"/>
  <c r="E170" i="1"/>
  <c r="F170" i="1" s="1"/>
  <c r="J170" i="1" s="1"/>
  <c r="E171" i="1"/>
  <c r="F171" i="1" s="1"/>
  <c r="J171" i="1" s="1"/>
  <c r="E172" i="1"/>
  <c r="F172" i="1" s="1"/>
  <c r="J172" i="1" s="1"/>
  <c r="E173" i="1"/>
  <c r="F173" i="1" s="1"/>
  <c r="J173" i="1" s="1"/>
  <c r="E174" i="1"/>
  <c r="F174" i="1" s="1"/>
  <c r="J174" i="1" s="1"/>
  <c r="E175" i="1"/>
  <c r="F175" i="1" s="1"/>
  <c r="J175" i="1" s="1"/>
  <c r="E176" i="1"/>
  <c r="F176" i="1" s="1"/>
  <c r="J176" i="1" s="1"/>
  <c r="E177" i="1"/>
  <c r="F177" i="1" s="1"/>
  <c r="J177" i="1" s="1"/>
  <c r="E178" i="1"/>
  <c r="F178" i="1" s="1"/>
  <c r="J178" i="1" s="1"/>
  <c r="E179" i="1"/>
  <c r="F179" i="1" s="1"/>
  <c r="J179" i="1" s="1"/>
  <c r="E180" i="1"/>
  <c r="F180" i="1" s="1"/>
  <c r="J180" i="1" s="1"/>
  <c r="E181" i="1"/>
  <c r="F181" i="1" s="1"/>
  <c r="J181" i="1" s="1"/>
  <c r="E182" i="1"/>
  <c r="F182" i="1" s="1"/>
  <c r="J182" i="1" s="1"/>
  <c r="E183" i="1"/>
  <c r="F183" i="1" s="1"/>
  <c r="J183" i="1" s="1"/>
  <c r="E184" i="1"/>
  <c r="F184" i="1" s="1"/>
  <c r="J184" i="1" s="1"/>
  <c r="E185" i="1"/>
  <c r="F185" i="1" s="1"/>
  <c r="J185" i="1" s="1"/>
  <c r="E186" i="1"/>
  <c r="F186" i="1" s="1"/>
  <c r="J186" i="1" s="1"/>
  <c r="E187" i="1"/>
  <c r="F187" i="1" s="1"/>
  <c r="J187" i="1" s="1"/>
  <c r="E188" i="1"/>
  <c r="F188" i="1" s="1"/>
  <c r="J188" i="1" s="1"/>
  <c r="E189" i="1"/>
  <c r="F189" i="1" s="1"/>
  <c r="J189" i="1" s="1"/>
  <c r="E190" i="1"/>
  <c r="F190" i="1" s="1"/>
  <c r="J190" i="1" s="1"/>
  <c r="E191" i="1"/>
  <c r="F191" i="1" s="1"/>
  <c r="J191" i="1" s="1"/>
  <c r="E192" i="1"/>
  <c r="F192" i="1" s="1"/>
  <c r="J192" i="1" s="1"/>
  <c r="E193" i="1"/>
  <c r="F193" i="1" s="1"/>
  <c r="J193" i="1" s="1"/>
  <c r="E194" i="1"/>
  <c r="F194" i="1" s="1"/>
  <c r="J194" i="1" s="1"/>
  <c r="E195" i="1"/>
  <c r="F195" i="1" s="1"/>
  <c r="J195" i="1" s="1"/>
  <c r="E196" i="1"/>
  <c r="F196" i="1" s="1"/>
  <c r="J196" i="1" s="1"/>
  <c r="E197" i="1"/>
  <c r="F197" i="1" s="1"/>
  <c r="J197" i="1" s="1"/>
  <c r="E198" i="1"/>
  <c r="F198" i="1" s="1"/>
  <c r="J198" i="1" s="1"/>
  <c r="E199" i="1"/>
  <c r="F199" i="1" s="1"/>
  <c r="J199" i="1" s="1"/>
  <c r="E200" i="1"/>
  <c r="F200" i="1" s="1"/>
  <c r="J200" i="1" s="1"/>
  <c r="E201" i="1"/>
  <c r="F201" i="1" s="1"/>
  <c r="J201" i="1" s="1"/>
  <c r="E2" i="1"/>
  <c r="F2" i="1" s="1"/>
  <c r="J2" i="1" s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102" i="1" a="1"/>
  <c r="D102" i="1"/>
  <c r="D103" i="1" a="1"/>
  <c r="D103" i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/>
  <c r="D121" i="1" a="1"/>
  <c r="D121" i="1"/>
  <c r="D122" i="1" a="1"/>
  <c r="D122" i="1"/>
  <c r="D123" i="1" a="1"/>
  <c r="D123" i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/>
  <c r="D131" i="1" a="1"/>
  <c r="D131" i="1"/>
  <c r="D132" i="1" a="1"/>
  <c r="D132" i="1"/>
  <c r="D133" i="1" a="1"/>
  <c r="D133" i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/>
  <c r="D141" i="1" a="1"/>
  <c r="D141" i="1"/>
  <c r="D142" i="1" a="1"/>
  <c r="D142" i="1"/>
  <c r="D143" i="1" a="1"/>
  <c r="D143" i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/>
  <c r="D151" i="1" a="1"/>
  <c r="D151" i="1"/>
  <c r="D152" i="1" a="1"/>
  <c r="D152" i="1"/>
  <c r="D153" i="1" a="1"/>
  <c r="D153" i="1"/>
  <c r="D154" i="1" a="1"/>
  <c r="D154" i="1"/>
  <c r="D155" i="1" a="1"/>
  <c r="D155" i="1"/>
  <c r="D156" i="1" a="1"/>
  <c r="D156" i="1"/>
  <c r="D157" i="1" a="1"/>
  <c r="D157" i="1"/>
  <c r="D158" i="1" a="1"/>
  <c r="D158" i="1"/>
  <c r="D159" i="1" a="1"/>
  <c r="D159" i="1"/>
  <c r="D160" i="1" a="1"/>
  <c r="D160" i="1"/>
  <c r="D161" i="1" a="1"/>
  <c r="D161" i="1"/>
  <c r="D162" i="1" a="1"/>
  <c r="D162" i="1"/>
  <c r="D163" i="1" a="1"/>
  <c r="D163" i="1"/>
  <c r="D164" i="1" a="1"/>
  <c r="D164" i="1"/>
  <c r="D165" i="1" a="1"/>
  <c r="D165" i="1"/>
  <c r="D166" i="1" a="1"/>
  <c r="D166" i="1"/>
  <c r="D167" i="1" a="1"/>
  <c r="D167" i="1"/>
  <c r="D168" i="1" a="1"/>
  <c r="D168" i="1"/>
  <c r="D169" i="1" a="1"/>
  <c r="D169" i="1"/>
  <c r="D170" i="1" a="1"/>
  <c r="D170" i="1"/>
  <c r="D171" i="1" a="1"/>
  <c r="D171" i="1"/>
  <c r="D172" i="1" a="1"/>
  <c r="D172" i="1"/>
  <c r="D173" i="1" a="1"/>
  <c r="D173" i="1"/>
  <c r="D174" i="1" a="1"/>
  <c r="D174" i="1"/>
  <c r="D175" i="1" a="1"/>
  <c r="D175" i="1"/>
  <c r="D176" i="1" a="1"/>
  <c r="D176" i="1"/>
  <c r="D177" i="1" a="1"/>
  <c r="D177" i="1"/>
  <c r="D178" i="1" a="1"/>
  <c r="D178" i="1"/>
  <c r="D179" i="1" a="1"/>
  <c r="D179" i="1"/>
  <c r="D180" i="1" a="1"/>
  <c r="D180" i="1"/>
  <c r="D181" i="1" a="1"/>
  <c r="D181" i="1"/>
  <c r="D182" i="1" a="1"/>
  <c r="D182" i="1"/>
  <c r="D183" i="1" a="1"/>
  <c r="D183" i="1"/>
  <c r="D184" i="1" a="1"/>
  <c r="D184" i="1"/>
  <c r="D185" i="1" a="1"/>
  <c r="D185" i="1"/>
  <c r="D186" i="1" a="1"/>
  <c r="D186" i="1"/>
  <c r="D187" i="1" a="1"/>
  <c r="D187" i="1"/>
  <c r="D188" i="1" a="1"/>
  <c r="D188" i="1"/>
  <c r="D189" i="1" a="1"/>
  <c r="D189" i="1"/>
  <c r="D190" i="1" a="1"/>
  <c r="D190" i="1"/>
  <c r="D191" i="1" a="1"/>
  <c r="D191" i="1"/>
  <c r="D192" i="1" a="1"/>
  <c r="D192" i="1"/>
  <c r="D193" i="1" a="1"/>
  <c r="D193" i="1"/>
  <c r="D194" i="1" a="1"/>
  <c r="D194" i="1"/>
  <c r="D195" i="1" a="1"/>
  <c r="D195" i="1"/>
  <c r="D196" i="1" a="1"/>
  <c r="D196" i="1"/>
  <c r="D197" i="1" a="1"/>
  <c r="D197" i="1"/>
  <c r="D198" i="1" a="1"/>
  <c r="D198" i="1"/>
  <c r="D199" i="1" a="1"/>
  <c r="D199" i="1"/>
  <c r="D200" i="1" a="1"/>
  <c r="D200" i="1"/>
  <c r="D201" i="1" a="1"/>
  <c r="D201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<sst xmlns="http://schemas.openxmlformats.org/spreadsheetml/2006/main" count="631" uniqueCount="237">
  <si>
    <t>Order_ID</t>
  </si>
  <si>
    <t>Customer_Name</t>
  </si>
  <si>
    <t>Region</t>
  </si>
  <si>
    <t>Product</t>
  </si>
  <si>
    <t>Order_Date</t>
  </si>
  <si>
    <t>Delivery_Date</t>
  </si>
  <si>
    <t>Planned_Cost</t>
  </si>
  <si>
    <t>Actual_Cost</t>
  </si>
  <si>
    <t>Order_Status</t>
  </si>
  <si>
    <t>Delay_Days</t>
  </si>
  <si>
    <t>Cost Variance</t>
  </si>
  <si>
    <t>ORD001</t>
  </si>
  <si>
    <t>Amit Sharma</t>
  </si>
  <si>
    <t>India</t>
  </si>
  <si>
    <t>ORD002</t>
  </si>
  <si>
    <t>Priya Nair</t>
  </si>
  <si>
    <t>Germany</t>
  </si>
  <si>
    <t>ORD003</t>
  </si>
  <si>
    <t>Rahul Verma</t>
  </si>
  <si>
    <t>UAE</t>
  </si>
  <si>
    <t>ORD004</t>
  </si>
  <si>
    <t>Sandeep Reddy</t>
  </si>
  <si>
    <t>Europe</t>
  </si>
  <si>
    <t>ORD005</t>
  </si>
  <si>
    <t>Neha Patel</t>
  </si>
  <si>
    <t>Middle East</t>
  </si>
  <si>
    <t>ORD006</t>
  </si>
  <si>
    <t>Arjun Mehta</t>
  </si>
  <si>
    <t>Asia-Pacific</t>
  </si>
  <si>
    <t>ORD007</t>
  </si>
  <si>
    <t>Kavya Rao</t>
  </si>
  <si>
    <t>Americas</t>
  </si>
  <si>
    <t>ORD008</t>
  </si>
  <si>
    <t>Vikram Singh</t>
  </si>
  <si>
    <t>ORD009</t>
  </si>
  <si>
    <t>Ananya Iyer</t>
  </si>
  <si>
    <t>ORD010</t>
  </si>
  <si>
    <t>Rohit Das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</si>
  <si>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</si>
  <si>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</si>
  <si>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</si>
  <si>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</si>
  <si>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</si>
  <si>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</si>
  <si>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</si>
  <si>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</si>
  <si>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</si>
  <si>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</si>
  <si>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</si>
  <si>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</si>
  <si>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</si>
  <si>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</si>
  <si>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</si>
  <si>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</si>
  <si>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</si>
  <si>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</si>
  <si>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</si>
  <si>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</si>
  <si>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</si>
  <si>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</si>
  <si>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</si>
  <si>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</si>
  <si>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</si>
  <si>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</si>
  <si>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</si>
  <si>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</si>
  <si>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</si>
  <si>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</si>
  <si>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</si>
  <si>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</si>
  <si>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</si>
  <si>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</si>
  <si>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</si>
  <si>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</si>
  <si>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</si>
  <si>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</si>
  <si>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</si>
  <si>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</si>
  <si>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</si>
  <si>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</si>
  <si>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</si>
  <si>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</si>
  <si>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</si>
  <si>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</si>
  <si>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</si>
  <si>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</si>
  <si>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</si>
  <si>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</si>
  <si>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</si>
  <si>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</si>
  <si>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</si>
  <si>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</si>
  <si>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</si>
  <si>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</si>
  <si>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</si>
  <si>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</si>
  <si>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</si>
  <si>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</si>
  <si>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</si>
  <si>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</si>
  <si>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</si>
  <si>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</si>
  <si>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</si>
  <si>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</si>
  <si>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</si>
  <si>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</si>
  <si>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</si>
  <si>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</si>
  <si>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</si>
  <si>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</si>
  <si>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</si>
  <si>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</si>
  <si>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</si>
  <si>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</si>
  <si>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</si>
  <si>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</si>
  <si>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</si>
  <si>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</si>
  <si>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</si>
  <si>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</si>
  <si>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</si>
  <si>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</si>
  <si>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</si>
  <si>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</si>
  <si>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</si>
  <si>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</si>
  <si>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</si>
  <si>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</si>
  <si>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</si>
  <si>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</si>
  <si>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</si>
  <si>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</si>
  <si>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</si>
  <si>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</si>
  <si>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</si>
  <si>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</si>
  <si>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</si>
  <si>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</si>
  <si>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</si>
  <si>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</si>
  <si>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</si>
  <si>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</si>
  <si>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</si>
  <si>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</si>
  <si>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</si>
  <si>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</si>
  <si>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</si>
  <si>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</si>
  <si>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</si>
  <si>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</si>
  <si>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</si>
  <si>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</si>
  <si>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</si>
  <si>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</si>
  <si>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</si>
  <si>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</si>
  <si>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</si>
  <si>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</si>
  <si>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</si>
  <si>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</si>
  <si>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</si>
  <si>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</si>
  <si>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</si>
  <si>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</si>
  <si>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</si>
  <si>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</si>
  <si>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</si>
  <si>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</si>
  <si>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</si>
  <si>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</si>
  <si>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</si>
  <si>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</si>
  <si>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</si>
  <si>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</si>
  <si>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</si>
  <si>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</si>
  <si>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</si>
  <si>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</si>
  <si>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</si>
  <si>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</si>
  <si>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</si>
  <si>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</si>
  <si>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</si>
  <si>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</si>
  <si>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</si>
  <si>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</si>
  <si>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</si>
  <si>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</si>
  <si>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</si>
  <si>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</si>
  <si>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</si>
  <si>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</si>
  <si>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</si>
  <si>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</si>
  <si>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</si>
  <si>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</si>
  <si>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</si>
  <si>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</si>
  <si>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</si>
  <si>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</si>
  <si>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</si>
  <si>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</si>
  <si>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</si>
  <si>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</si>
  <si>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</si>
  <si>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</si>
  <si>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</si>
  <si>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</si>
  <si>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</si>
  <si>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</si>
  <si>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</si>
  <si>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</si>
  <si>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</si>
  <si>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</si>
  <si>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</si>
  <si>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</si>
  <si>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</si>
  <si>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</si>
  <si>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</si>
  <si>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</si>
  <si>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</si>
  <si>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</si>
  <si>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</si>
  <si>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</si>
  <si>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</si>
  <si>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</si>
  <si>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</si>
  <si>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</si>
  <si>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(All)</t>
  </si>
  <si>
    <t>Sum of Actual_Cost</t>
  </si>
  <si>
    <t>Headphones</t>
  </si>
  <si>
    <t>Laptop</t>
  </si>
  <si>
    <t>Monitor</t>
  </si>
  <si>
    <t>Smartphone</t>
  </si>
  <si>
    <t>Smartwatch</t>
  </si>
  <si>
    <t>Tablet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</si>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</sst>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[Excel_Sales_Analytics_Project1.xlsx]PivotTable Sheet!PivotTable3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Sheet'!$B$3:$B$4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Sheet'!$B$5:$B$12</c:f>
              <c:numCache>
                <c:formatCode>"$"#,##0.00</c:formatCode>
                <c:ptCount val="7"/>
                <c:pt idx="0">
                  <c:v>987627</c:v>
                </c:pt>
                <c:pt idx="1">
                  <c:v>267569</c:v>
                </c:pt>
                <c:pt idx="2">
                  <c:v>290560</c:v>
                </c:pt>
                <c:pt idx="3">
                  <c:v>704199</c:v>
                </c:pt>
                <c:pt idx="4">
                  <c:v>286409</c:v>
                </c:pt>
                <c:pt idx="5">
                  <c:v>355627</c:v>
                </c:pt>
                <c:pt idx="6">
                  <c:v>523742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3-47C4-883C-F8C14866FA21}"/>
            </c:ext>
          </c:extLst>
        </c:ser>
        <c:ser>
          <c:idx val="1"/>
          <c:order val="1"/>
          <c:tx>
            <c:strRef>
              <c:f>'PivotTable Sheet'!$C$3:$C$4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Sheet'!$C$5:$C$12</c:f>
              <c:numCache>
                <c:formatCode>"$"#,##0.00</c:formatCode>
                <c:ptCount val="7"/>
                <c:pt idx="0">
                  <c:v>327952</c:v>
                </c:pt>
                <c:pt idx="1">
                  <c:v>582608</c:v>
                </c:pt>
                <c:pt idx="2">
                  <c:v>749831</c:v>
                </c:pt>
                <c:pt idx="3">
                  <c:v>227156</c:v>
                </c:pt>
                <c:pt idx="4">
                  <c:v>299079</c:v>
                </c:pt>
                <c:pt idx="5">
                  <c:v>142322</c:v>
                </c:pt>
                <c:pt idx="6">
                  <c:v>263968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3-47C4-883C-F8C14866FA21}"/>
            </c:ext>
          </c:extLst>
        </c:ser>
        <c:ser>
          <c:idx val="2"/>
          <c:order val="2"/>
          <c:tx>
            <c:strRef>
              <c:f>'PivotTable Sheet'!$D$3:$D$4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Sheet'!$D$5:$D$12</c:f>
              <c:numCache>
                <c:formatCode>"$"#,##0.00</c:formatCode>
                <c:ptCount val="7"/>
                <c:pt idx="0">
                  <c:v>170984</c:v>
                </c:pt>
                <c:pt idx="1">
                  <c:v>551591</c:v>
                </c:pt>
                <c:pt idx="2">
                  <c:v>279155</c:v>
                </c:pt>
                <c:pt idx="3">
                  <c:v>534624</c:v>
                </c:pt>
                <c:pt idx="4">
                  <c:v>250215</c:v>
                </c:pt>
                <c:pt idx="5">
                  <c:v>290853</c:v>
                </c:pt>
                <c:pt idx="6">
                  <c:v>615328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3-47C4-883C-F8C14866FA21}"/>
            </c:ext>
          </c:extLst>
        </c:ser>
        <c:ser>
          <c:idx val="3"/>
          <c:order val="3"/>
          <c:tx>
            <c:strRef>
              <c:f>'PivotTable Sheet'!$E$3:$E$4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Sheet'!$E$5:$E$12</c:f>
              <c:numCache>
                <c:formatCode>"$"#,##0.00</c:formatCode>
                <c:ptCount val="7"/>
                <c:pt idx="0">
                  <c:v>407150</c:v>
                </c:pt>
                <c:pt idx="1">
                  <c:v>441389</c:v>
                </c:pt>
                <c:pt idx="2">
                  <c:v>212412</c:v>
                </c:pt>
                <c:pt idx="3">
                  <c:v>210830</c:v>
                </c:pt>
                <c:pt idx="4">
                  <c:v>301155</c:v>
                </c:pt>
                <c:pt idx="5">
                  <c:v>332768</c:v>
                </c:pt>
                <c:pt idx="6">
                  <c:v>371114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23-47C4-883C-F8C14866FA21}"/>
            </c:ext>
          </c:extLst>
        </c:ser>
        <c:ser>
          <c:idx val="4"/>
          <c:order val="4"/>
          <c:tx>
            <c:strRef>
              <c:f>'PivotTable Sheet'!$F$3:$F$4</c:f>
              <c:strCache>
                <c:ptCount val="1"/>
                <c:pt idx="0">
                  <c:v>Smartwatch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Sheet'!$F$5:$F$12</c:f>
              <c:numCache>
                <c:formatCode>"$"#,##0.00</c:formatCode>
                <c:ptCount val="7"/>
                <c:pt idx="0">
                  <c:v>292365</c:v>
                </c:pt>
                <c:pt idx="1">
                  <c:v>270592</c:v>
                </c:pt>
                <c:pt idx="2">
                  <c:v>593472</c:v>
                </c:pt>
                <c:pt idx="3">
                  <c:v>253848</c:v>
                </c:pt>
                <c:pt idx="4">
                  <c:v>191412</c:v>
                </c:pt>
                <c:pt idx="5">
                  <c:v>737626</c:v>
                </c:pt>
                <c:pt idx="6">
                  <c:v>431405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23-47C4-883C-F8C14866FA21}"/>
            </c:ext>
          </c:extLst>
        </c:ser>
        <c:ser>
          <c:idx val="5"/>
          <c:order val="5"/>
          <c:tx>
            <c:strRef>
              <c:f>'PivotTable Sheet'!$G$3:$G$4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Sheet'!$G$5:$G$12</c:f>
              <c:numCache>
                <c:formatCode>"$"#,##0.00</c:formatCode>
                <c:ptCount val="7"/>
                <c:pt idx="0">
                  <c:v>735953</c:v>
                </c:pt>
                <c:pt idx="1">
                  <c:v>335673</c:v>
                </c:pt>
                <c:pt idx="2">
                  <c:v>416746</c:v>
                </c:pt>
                <c:pt idx="3">
                  <c:v>272133</c:v>
                </c:pt>
                <c:pt idx="4">
                  <c:v>160292</c:v>
                </c:pt>
                <c:pt idx="5">
                  <c:v>456691</c:v>
                </c:pt>
                <c:pt idx="6">
                  <c:v>486857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23-47C4-883C-F8C14866F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267655"/>
        <c:axId val="674269703"/>
      </c:barChart>
      <c:catAx>
        <c:axId val="674267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69703"/>
        <c:crosses val="autoZero"/>
        <c:auto val="1"/>
        <c:lblAlgn val="ctr"/>
        <c:lblOffset val="100"/>
        <c:noMultiLvlLbl val="0"/>
      </c:catAx>
      <c:valAx>
        <c:axId val="67426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6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[Excel_Sales_Analytics_Project1.xlsx]PivotTable Sheet!PivotTable3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Sheet'!$B$3:$B$4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Sheet'!$B$5:$B$12</c:f>
              <c:numCache>
                <c:formatCode>"$"#,##0.00</c:formatCode>
                <c:ptCount val="7"/>
                <c:pt idx="0">
                  <c:v>987627</c:v>
                </c:pt>
                <c:pt idx="1">
                  <c:v>267569</c:v>
                </c:pt>
                <c:pt idx="2">
                  <c:v>290560</c:v>
                </c:pt>
                <c:pt idx="3">
                  <c:v>704199</c:v>
                </c:pt>
                <c:pt idx="4">
                  <c:v>286409</c:v>
                </c:pt>
                <c:pt idx="5">
                  <c:v>355627</c:v>
                </c:pt>
                <c:pt idx="6">
                  <c:v>523742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B-48DF-B232-7F0D3D40F6D7}"/>
            </c:ext>
          </c:extLst>
        </c:ser>
        <c:ser>
          <c:idx val="1"/>
          <c:order val="1"/>
          <c:tx>
            <c:strRef>
              <c:f>'PivotTable Sheet'!$C$3:$C$4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Sheet'!$C$5:$C$12</c:f>
              <c:numCache>
                <c:formatCode>"$"#,##0.00</c:formatCode>
                <c:ptCount val="7"/>
                <c:pt idx="0">
                  <c:v>327952</c:v>
                </c:pt>
                <c:pt idx="1">
                  <c:v>582608</c:v>
                </c:pt>
                <c:pt idx="2">
                  <c:v>749831</c:v>
                </c:pt>
                <c:pt idx="3">
                  <c:v>227156</c:v>
                </c:pt>
                <c:pt idx="4">
                  <c:v>299079</c:v>
                </c:pt>
                <c:pt idx="5">
                  <c:v>142322</c:v>
                </c:pt>
                <c:pt idx="6">
                  <c:v>263968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B-48DF-B232-7F0D3D40F6D7}"/>
            </c:ext>
          </c:extLst>
        </c:ser>
        <c:ser>
          <c:idx val="2"/>
          <c:order val="2"/>
          <c:tx>
            <c:strRef>
              <c:f>'PivotTable Sheet'!$D$3:$D$4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Sheet'!$D$5:$D$12</c:f>
              <c:numCache>
                <c:formatCode>"$"#,##0.00</c:formatCode>
                <c:ptCount val="7"/>
                <c:pt idx="0">
                  <c:v>170984</c:v>
                </c:pt>
                <c:pt idx="1">
                  <c:v>551591</c:v>
                </c:pt>
                <c:pt idx="2">
                  <c:v>279155</c:v>
                </c:pt>
                <c:pt idx="3">
                  <c:v>534624</c:v>
                </c:pt>
                <c:pt idx="4">
                  <c:v>250215</c:v>
                </c:pt>
                <c:pt idx="5">
                  <c:v>290853</c:v>
                </c:pt>
                <c:pt idx="6">
                  <c:v>615328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B-48DF-B232-7F0D3D40F6D7}"/>
            </c:ext>
          </c:extLst>
        </c:ser>
        <c:ser>
          <c:idx val="3"/>
          <c:order val="3"/>
          <c:tx>
            <c:strRef>
              <c:f>'PivotTable Sheet'!$E$3:$E$4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Sheet'!$E$5:$E$12</c:f>
              <c:numCache>
                <c:formatCode>"$"#,##0.00</c:formatCode>
                <c:ptCount val="7"/>
                <c:pt idx="0">
                  <c:v>407150</c:v>
                </c:pt>
                <c:pt idx="1">
                  <c:v>441389</c:v>
                </c:pt>
                <c:pt idx="2">
                  <c:v>212412</c:v>
                </c:pt>
                <c:pt idx="3">
                  <c:v>210830</c:v>
                </c:pt>
                <c:pt idx="4">
                  <c:v>301155</c:v>
                </c:pt>
                <c:pt idx="5">
                  <c:v>332768</c:v>
                </c:pt>
                <c:pt idx="6">
                  <c:v>371114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4B-48DF-B232-7F0D3D40F6D7}"/>
            </c:ext>
          </c:extLst>
        </c:ser>
        <c:ser>
          <c:idx val="4"/>
          <c:order val="4"/>
          <c:tx>
            <c:strRef>
              <c:f>'PivotTable Sheet'!$F$3:$F$4</c:f>
              <c:strCache>
                <c:ptCount val="1"/>
                <c:pt idx="0">
                  <c:v>Smartwatch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Sheet'!$F$5:$F$12</c:f>
              <c:numCache>
                <c:formatCode>"$"#,##0.00</c:formatCode>
                <c:ptCount val="7"/>
                <c:pt idx="0">
                  <c:v>292365</c:v>
                </c:pt>
                <c:pt idx="1">
                  <c:v>270592</c:v>
                </c:pt>
                <c:pt idx="2">
                  <c:v>593472</c:v>
                </c:pt>
                <c:pt idx="3">
                  <c:v>253848</c:v>
                </c:pt>
                <c:pt idx="4">
                  <c:v>191412</c:v>
                </c:pt>
                <c:pt idx="5">
                  <c:v>737626</c:v>
                </c:pt>
                <c:pt idx="6">
                  <c:v>431405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4B-48DF-B232-7F0D3D40F6D7}"/>
            </c:ext>
          </c:extLst>
        </c:ser>
        <c:ser>
          <c:idx val="5"/>
          <c:order val="5"/>
          <c:tx>
            <c:strRef>
              <c:f>'PivotTable Sheet'!$G$3:$G$4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Sheet'!$G$5:$G$12</c:f>
              <c:numCache>
                <c:formatCode>"$"#,##0.00</c:formatCode>
                <c:ptCount val="7"/>
                <c:pt idx="0">
                  <c:v>735953</c:v>
                </c:pt>
                <c:pt idx="1">
                  <c:v>335673</c:v>
                </c:pt>
                <c:pt idx="2">
                  <c:v>416746</c:v>
                </c:pt>
                <c:pt idx="3">
                  <c:v>272133</c:v>
                </c:pt>
                <c:pt idx="4">
                  <c:v>160292</c:v>
                </c:pt>
                <c:pt idx="5">
                  <c:v>456691</c:v>
                </c:pt>
                <c:pt idx="6">
                  <c:v>486857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4B-48DF-B232-7F0D3D40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335432"/>
        <c:axId val="1383337480"/>
      </c:barChart>
      <c:catAx>
        <c:axId val="1383335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37480"/>
        <c:crosses val="autoZero"/>
        <c:auto val="1"/>
        <c:lblAlgn val="ctr"/>
        <c:lblOffset val="100"/>
        <c:noMultiLvlLbl val="0"/>
      </c:catAx>
      <c:valAx>
        <c:axId val="138333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3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[Excel_Sales_Analytics_Project1.xlsx]PivotTable Sheet!PivotTable3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'PivotTable Sheet'!$B$3:$B$4</c:f>
              <c:strCache>
                <c:ptCount val="1"/>
                <c:pt idx="0">
                  <c:v>Headphones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E8-4897-B449-78D74C01326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E8-4897-B449-78D74C01326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E8-4897-B449-78D74C01326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E8-4897-B449-78D74C01326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E8-4897-B449-78D74C013264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E8-4897-B449-78D74C013264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E8-4897-B449-78D74C013264}"/>
              </c:ext>
            </c:extLst>
          </c:dPt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Sheet'!$B$5:$B$12</c:f>
              <c:numCache>
                <c:formatCode>"$"#,##0.00</c:formatCode>
                <c:ptCount val="7"/>
                <c:pt idx="0">
                  <c:v>987627</c:v>
                </c:pt>
                <c:pt idx="1">
                  <c:v>267569</c:v>
                </c:pt>
                <c:pt idx="2">
                  <c:v>290560</c:v>
                </c:pt>
                <c:pt idx="3">
                  <c:v>704199</c:v>
                </c:pt>
                <c:pt idx="4">
                  <c:v>286409</c:v>
                </c:pt>
                <c:pt idx="5">
                  <c:v>355627</c:v>
                </c:pt>
                <c:pt idx="6">
                  <c:v>523742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2E8-4897-B449-78D74C013264}"/>
            </c:ext>
          </c:extLst>
        </c:ser>
        <c:ser>
          <c:idx val="1"/>
          <c:order val="1"/>
          <c:tx>
            <c:strRef>
              <c:f>'PivotTable Sheet'!$C$3:$C$4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2E8-4897-B449-78D74C01326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2E8-4897-B449-78D74C01326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2E8-4897-B449-78D74C01326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2E8-4897-B449-78D74C01326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2E8-4897-B449-78D74C013264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2E8-4897-B449-78D74C013264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2E8-4897-B449-78D74C013264}"/>
              </c:ext>
            </c:extLst>
          </c:dPt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Sheet'!$C$5:$C$12</c:f>
              <c:numCache>
                <c:formatCode>"$"#,##0.00</c:formatCode>
                <c:ptCount val="7"/>
                <c:pt idx="0">
                  <c:v>327952</c:v>
                </c:pt>
                <c:pt idx="1">
                  <c:v>582608</c:v>
                </c:pt>
                <c:pt idx="2">
                  <c:v>749831</c:v>
                </c:pt>
                <c:pt idx="3">
                  <c:v>227156</c:v>
                </c:pt>
                <c:pt idx="4">
                  <c:v>299079</c:v>
                </c:pt>
                <c:pt idx="5">
                  <c:v>142322</c:v>
                </c:pt>
                <c:pt idx="6">
                  <c:v>263968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2E8-4897-B449-78D74C013264}"/>
            </c:ext>
          </c:extLst>
        </c:ser>
        <c:ser>
          <c:idx val="2"/>
          <c:order val="2"/>
          <c:tx>
            <c:strRef>
              <c:f>'PivotTable Sheet'!$D$3:$D$4</c:f>
              <c:strCache>
                <c:ptCount val="1"/>
                <c:pt idx="0">
                  <c:v>Monitor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2E8-4897-B449-78D74C01326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2E8-4897-B449-78D74C01326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2E8-4897-B449-78D74C01326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2E8-4897-B449-78D74C01326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2E8-4897-B449-78D74C013264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2E8-4897-B449-78D74C013264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2E8-4897-B449-78D74C013264}"/>
              </c:ext>
            </c:extLst>
          </c:dPt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Sheet'!$D$5:$D$12</c:f>
              <c:numCache>
                <c:formatCode>"$"#,##0.00</c:formatCode>
                <c:ptCount val="7"/>
                <c:pt idx="0">
                  <c:v>170984</c:v>
                </c:pt>
                <c:pt idx="1">
                  <c:v>551591</c:v>
                </c:pt>
                <c:pt idx="2">
                  <c:v>279155</c:v>
                </c:pt>
                <c:pt idx="3">
                  <c:v>534624</c:v>
                </c:pt>
                <c:pt idx="4">
                  <c:v>250215</c:v>
                </c:pt>
                <c:pt idx="5">
                  <c:v>290853</c:v>
                </c:pt>
                <c:pt idx="6">
                  <c:v>615328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2E8-4897-B449-78D74C013264}"/>
            </c:ext>
          </c:extLst>
        </c:ser>
        <c:ser>
          <c:idx val="3"/>
          <c:order val="3"/>
          <c:tx>
            <c:strRef>
              <c:f>'PivotTable Sheet'!$E$3:$E$4</c:f>
              <c:strCache>
                <c:ptCount val="1"/>
                <c:pt idx="0">
                  <c:v>Smartphone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52E8-4897-B449-78D74C01326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52E8-4897-B449-78D74C01326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52E8-4897-B449-78D74C01326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52E8-4897-B449-78D74C01326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52E8-4897-B449-78D74C013264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52E8-4897-B449-78D74C013264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52E8-4897-B449-78D74C013264}"/>
              </c:ext>
            </c:extLst>
          </c:dPt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Sheet'!$E$5:$E$12</c:f>
              <c:numCache>
                <c:formatCode>"$"#,##0.00</c:formatCode>
                <c:ptCount val="7"/>
                <c:pt idx="0">
                  <c:v>407150</c:v>
                </c:pt>
                <c:pt idx="1">
                  <c:v>441389</c:v>
                </c:pt>
                <c:pt idx="2">
                  <c:v>212412</c:v>
                </c:pt>
                <c:pt idx="3">
                  <c:v>210830</c:v>
                </c:pt>
                <c:pt idx="4">
                  <c:v>301155</c:v>
                </c:pt>
                <c:pt idx="5">
                  <c:v>332768</c:v>
                </c:pt>
                <c:pt idx="6">
                  <c:v>371114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52E8-4897-B449-78D74C013264}"/>
            </c:ext>
          </c:extLst>
        </c:ser>
        <c:ser>
          <c:idx val="4"/>
          <c:order val="4"/>
          <c:tx>
            <c:strRef>
              <c:f>'PivotTable Sheet'!$F$3:$F$4</c:f>
              <c:strCache>
                <c:ptCount val="1"/>
                <c:pt idx="0">
                  <c:v>Smartwatch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2E8-4897-B449-78D74C01326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2E8-4897-B449-78D74C01326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2E8-4897-B449-78D74C01326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2E8-4897-B449-78D74C01326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2E8-4897-B449-78D74C013264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2E8-4897-B449-78D74C013264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2E8-4897-B449-78D74C013264}"/>
              </c:ext>
            </c:extLst>
          </c:dPt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Sheet'!$F$5:$F$12</c:f>
              <c:numCache>
                <c:formatCode>"$"#,##0.00</c:formatCode>
                <c:ptCount val="7"/>
                <c:pt idx="0">
                  <c:v>292365</c:v>
                </c:pt>
                <c:pt idx="1">
                  <c:v>270592</c:v>
                </c:pt>
                <c:pt idx="2">
                  <c:v>593472</c:v>
                </c:pt>
                <c:pt idx="3">
                  <c:v>253848</c:v>
                </c:pt>
                <c:pt idx="4">
                  <c:v>191412</c:v>
                </c:pt>
                <c:pt idx="5">
                  <c:v>737626</c:v>
                </c:pt>
                <c:pt idx="6">
                  <c:v>431405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52E8-4897-B449-78D74C013264}"/>
            </c:ext>
          </c:extLst>
        </c:ser>
        <c:ser>
          <c:idx val="5"/>
          <c:order val="5"/>
          <c:tx>
            <c:strRef>
              <c:f>'PivotTable Sheet'!$G$3:$G$4</c:f>
              <c:strCache>
                <c:ptCount val="1"/>
                <c:pt idx="0">
                  <c:v>Tablet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52E8-4897-B449-78D74C01326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52E8-4897-B449-78D74C01326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52E8-4897-B449-78D74C01326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52E8-4897-B449-78D74C01326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52E8-4897-B449-78D74C013264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52E8-4897-B449-78D74C013264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52E8-4897-B449-78D74C013264}"/>
              </c:ext>
            </c:extLst>
          </c:dPt>
          <c:cat>
            <c:strRef>
              <c:f>'PivotTable Sheet'!$A$5:$A$12</c:f>
              <c:strCache>
                <c:ptCount val="7"/>
                <c:pt idx="0">
                  <c:v>Americas</c:v>
                </c:pt>
                <c:pt idx="1">
                  <c:v>Asia-Pacific</c:v>
                </c:pt>
                <c:pt idx="2">
                  <c:v>Europe</c:v>
                </c:pt>
                <c:pt idx="3">
                  <c:v>Germany</c:v>
                </c:pt>
                <c:pt idx="4">
                  <c:v>India</c:v>
                </c:pt>
                <c:pt idx="5">
                  <c:v>Middle East</c:v>
                </c:pt>
                <c:pt idx="6">
                  <c:v>UAE</c:v>
                </c:pt>
              </c:strCache>
            </c:strRef>
          </c:cat>
          <c:val>
            <c:numRef>
              <c:f>'PivotTable Sheet'!$G$5:$G$12</c:f>
              <c:numCache>
                <c:formatCode>"$"#,##0.00</c:formatCode>
                <c:ptCount val="7"/>
                <c:pt idx="0">
                  <c:v>735953</c:v>
                </c:pt>
                <c:pt idx="1">
                  <c:v>335673</c:v>
                </c:pt>
                <c:pt idx="2">
                  <c:v>416746</c:v>
                </c:pt>
                <c:pt idx="3">
                  <c:v>272133</c:v>
                </c:pt>
                <c:pt idx="4">
                  <c:v>160292</c:v>
                </c:pt>
                <c:pt idx="5">
                  <c:v>456691</c:v>
                </c:pt>
                <c:pt idx="6">
                  <c:v>486857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52E8-4897-B449-78D74C013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419100</xdr:colOff>
      <xdr:row>0</xdr:row>
      <xdr:rowOff>171450</xdr:rowOff>
    </xdr:from>
    <xdr:to>
      <xdr:col>23</xdr:col>
      <xdr:colOff>114300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60792-99A8-CDC4-F52E-3914737FA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523875</xdr:colOff>
      <xdr:row>1</xdr:row>
      <xdr:rowOff>66675</xdr:rowOff>
    </xdr:from>
    <xdr:to>
      <xdr:col>15</xdr:col>
      <xdr:colOff>219075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8A837-5101-D9CB-2B80-99DCAF4495FD}"/>
            </a:ext>
            <a:ext uri="{147F2762-F138-4A5C-976F-8EAC2B608ADB}">
              <a16:predDERef xmlns:a16="http://schemas.microsoft.com/office/drawing/2014/main" pred="{7BF60792-99A8-CDC4-F52E-3914737FA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47625</xdr:rowOff>
    </xdr:from>
    <xdr:to>
      <xdr:col>7</xdr:col>
      <xdr:colOff>304800</xdr:colOff>
      <xdr:row>15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2F1267-DA66-3D1B-162A-7019911CA39C}"/>
            </a:ext>
            <a:ext uri="{147F2762-F138-4A5C-976F-8EAC2B608ADB}">
              <a16:predDERef xmlns:a16="http://schemas.microsoft.com/office/drawing/2014/main" pred="{15F8A837-5101-D9CB-2B80-99DCAF449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9.621771180558" createdVersion="8" refreshedVersion="8" minRefreshableVersion="3" recordCount="200" xr:uid="{87CDB6C0-2644-4B4C-9F59-9D9826A66AC0}">
  <cacheSource type="worksheet">
    <worksheetSource ref="A1:K201" sheet="Raw_Data_Project 1"/>
  </cacheSource>
  <cacheFields count="11">
    <cacheField name="Order_ID" numFmtId="0">
      <sharedItems/>
    </cacheField>
    <cacheField name="Customer_Name" numFmtId="0">
      <sharedItems/>
    </cacheField>
    <cacheField name="Region" numFmtId="0">
      <sharedItems count="7">
        <s v="India"/>
        <s v="Germany"/>
        <s v="UAE"/>
        <s v="Europe"/>
        <s v="Middle East"/>
        <s v="Asia-Pacific"/>
        <s v="Americas"/>
      </sharedItems>
    </cacheField>
    <cacheField name="Product" numFmtId="0">
      <sharedItems count="6">
        <s v="Smartphone"/>
        <s v="Tablet"/>
        <s v="Laptop"/>
        <s v="Headphones"/>
        <s v="Monitor"/>
        <s v="Smartwatch"/>
      </sharedItems>
    </cacheField>
    <cacheField name="Order_Date" numFmtId="14">
      <sharedItems containsSemiMixedTypes="0" containsNonDate="0" containsDate="1" containsString="0" minDate="2025-01-01T00:00:00" maxDate="2025-07-01T00:00:00"/>
    </cacheField>
    <cacheField name="Delivery_Date" numFmtId="14">
      <sharedItems containsSemiMixedTypes="0" containsNonDate="0" containsDate="1" containsString="0" minDate="2025-01-11T00:00:00" maxDate="2025-07-12T00:00:00"/>
    </cacheField>
    <cacheField name="Planned_Cost" numFmtId="0">
      <sharedItems containsSemiMixedTypes="0" containsString="0" containsNumber="1" containsInteger="1" minValue="40447" maxValue="119630"/>
    </cacheField>
    <cacheField name="Actual_Cost" numFmtId="164">
      <sharedItems containsSemiMixedTypes="0" containsString="0" containsNumber="1" containsInteger="1" minValue="36248" maxValue="134128"/>
    </cacheField>
    <cacheField name="Order_Status" numFmtId="0">
      <sharedItems count="1">
        <s v="Delayed"/>
      </sharedItems>
    </cacheField>
    <cacheField name="Delay_Days" numFmtId="0">
      <sharedItems containsSemiMixedTypes="0" containsString="0" containsNumber="1" containsInteger="1" minValue="2" maxValue="15"/>
    </cacheField>
    <cacheField name="Cost Variance" numFmtId="164">
      <sharedItems containsSemiMixedTypes="0" containsString="0" containsNumber="1" containsInteger="1" minValue="-4997" maxValue="14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1"/>
    <s v="Amit Sharma"/>
    <x v="0"/>
    <x v="0"/>
    <d v="2025-02-04T00:00:00"/>
    <d v="2025-02-06T00:00:00"/>
    <n v="84383"/>
    <n v="97141"/>
    <x v="0"/>
    <n v="2"/>
    <n v="12758"/>
  </r>
  <r>
    <s v="ORD002"/>
    <s v="Priya Nair"/>
    <x v="1"/>
    <x v="1"/>
    <d v="2025-05-09T00:00:00"/>
    <d v="2025-05-12T00:00:00"/>
    <n v="49562"/>
    <n v="61852"/>
    <x v="0"/>
    <n v="3"/>
    <n v="12290"/>
  </r>
  <r>
    <s v="ORD003"/>
    <s v="Rahul Verma"/>
    <x v="2"/>
    <x v="0"/>
    <d v="2025-06-29T00:00:00"/>
    <d v="2025-07-11T00:00:00"/>
    <n v="46000"/>
    <n v="43092"/>
    <x v="0"/>
    <n v="12"/>
    <n v="-2908"/>
  </r>
  <r>
    <s v="ORD004"/>
    <s v="Sandeep Reddy"/>
    <x v="3"/>
    <x v="2"/>
    <d v="2025-05-13T00:00:00"/>
    <d v="2025-05-17T00:00:00"/>
    <n v="108137"/>
    <n v="107084"/>
    <x v="0"/>
    <n v="4"/>
    <n v="-1053"/>
  </r>
  <r>
    <s v="ORD005"/>
    <s v="Neha Patel"/>
    <x v="4"/>
    <x v="3"/>
    <d v="2025-03-04T00:00:00"/>
    <d v="2025-03-08T00:00:00"/>
    <n v="95457"/>
    <n v="97989"/>
    <x v="0"/>
    <n v="4"/>
    <n v="2532"/>
  </r>
  <r>
    <s v="ORD006"/>
    <s v="Arjun Mehta"/>
    <x v="5"/>
    <x v="4"/>
    <d v="2025-03-14T00:00:00"/>
    <d v="2025-03-21T00:00:00"/>
    <n v="95057"/>
    <n v="109117"/>
    <x v="0"/>
    <n v="7"/>
    <n v="14060"/>
  </r>
  <r>
    <s v="ORD007"/>
    <s v="Kavya Rao"/>
    <x v="6"/>
    <x v="0"/>
    <d v="2025-02-04T00:00:00"/>
    <d v="2025-02-07T00:00:00"/>
    <n v="110326"/>
    <n v="125315"/>
    <x v="0"/>
    <n v="3"/>
    <n v="14989"/>
  </r>
  <r>
    <s v="ORD008"/>
    <s v="Vikram Singh"/>
    <x v="0"/>
    <x v="4"/>
    <d v="2025-06-26T00:00:00"/>
    <d v="2025-06-29T00:00:00"/>
    <n v="97621"/>
    <n v="95077"/>
    <x v="0"/>
    <n v="3"/>
    <n v="-2544"/>
  </r>
  <r>
    <s v="ORD009"/>
    <s v="Ananya Iyer"/>
    <x v="1"/>
    <x v="4"/>
    <d v="2025-04-10T00:00:00"/>
    <d v="2025-04-25T00:00:00"/>
    <n v="92506"/>
    <n v="95685"/>
    <x v="0"/>
    <n v="15"/>
    <n v="3179"/>
  </r>
  <r>
    <s v="ORD010"/>
    <s v="Rohit Das"/>
    <x v="2"/>
    <x v="5"/>
    <d v="2025-01-10T00:00:00"/>
    <d v="2025-01-23T00:00:00"/>
    <n v="42710"/>
    <n v="38421"/>
    <x v="0"/>
    <n v="13"/>
    <n v="-4289"/>
  </r>
  <r>
    <s v="ORD011"/>
    <s v="Amit Sharma"/>
    <x v="3"/>
    <x v="4"/>
    <d v="2025-05-31T00:00:00"/>
    <d v="2025-06-08T00:00:00"/>
    <n v="69949"/>
    <n v="72303"/>
    <x v="0"/>
    <n v="8"/>
    <n v="2354"/>
  </r>
  <r>
    <s v="ORD012"/>
    <s v="Priya Nair"/>
    <x v="4"/>
    <x v="5"/>
    <d v="2025-03-17T00:00:00"/>
    <d v="2025-03-25T00:00:00"/>
    <n v="95397"/>
    <n v="98460"/>
    <x v="0"/>
    <n v="8"/>
    <n v="3063"/>
  </r>
  <r>
    <s v="ORD013"/>
    <s v="Rahul Verma"/>
    <x v="5"/>
    <x v="0"/>
    <d v="2025-06-21T00:00:00"/>
    <d v="2025-07-04T00:00:00"/>
    <n v="53525"/>
    <n v="62188"/>
    <x v="0"/>
    <n v="13"/>
    <n v="8663"/>
  </r>
  <r>
    <s v="ORD014"/>
    <s v="Sandeep Reddy"/>
    <x v="6"/>
    <x v="5"/>
    <d v="2025-05-16T00:00:00"/>
    <d v="2025-05-29T00:00:00"/>
    <n v="63248"/>
    <n v="74150"/>
    <x v="0"/>
    <n v="13"/>
    <n v="10902"/>
  </r>
  <r>
    <s v="ORD015"/>
    <s v="Neha Patel"/>
    <x v="0"/>
    <x v="2"/>
    <d v="2025-04-10T00:00:00"/>
    <d v="2025-04-12T00:00:00"/>
    <n v="41157"/>
    <n v="36248"/>
    <x v="0"/>
    <n v="2"/>
    <n v="-4909"/>
  </r>
  <r>
    <s v="ORD016"/>
    <s v="Arjun Mehta"/>
    <x v="1"/>
    <x v="3"/>
    <d v="2025-05-24T00:00:00"/>
    <d v="2025-06-04T00:00:00"/>
    <n v="55224"/>
    <n v="63966"/>
    <x v="0"/>
    <n v="11"/>
    <n v="8742"/>
  </r>
  <r>
    <s v="ORD017"/>
    <s v="Kavya Rao"/>
    <x v="2"/>
    <x v="2"/>
    <d v="2025-01-04T00:00:00"/>
    <d v="2025-01-16T00:00:00"/>
    <n v="104591"/>
    <n v="100000"/>
    <x v="0"/>
    <n v="12"/>
    <n v="-4591"/>
  </r>
  <r>
    <s v="ORD018"/>
    <s v="Vikram Singh"/>
    <x v="3"/>
    <x v="5"/>
    <d v="2025-03-13T00:00:00"/>
    <d v="2025-03-19T00:00:00"/>
    <n v="63374"/>
    <n v="70088"/>
    <x v="0"/>
    <n v="6"/>
    <n v="6714"/>
  </r>
  <r>
    <s v="ORD019"/>
    <s v="Ananya Iyer"/>
    <x v="4"/>
    <x v="5"/>
    <d v="2025-06-22T00:00:00"/>
    <d v="2025-06-29T00:00:00"/>
    <n v="96668"/>
    <n v="93989"/>
    <x v="0"/>
    <n v="7"/>
    <n v="-2679"/>
  </r>
  <r>
    <s v="ORD020"/>
    <s v="Rohit Das"/>
    <x v="5"/>
    <x v="3"/>
    <d v="2025-05-04T00:00:00"/>
    <d v="2025-05-13T00:00:00"/>
    <n v="75124"/>
    <n v="84435"/>
    <x v="0"/>
    <n v="9"/>
    <n v="9311"/>
  </r>
  <r>
    <s v="ORD021"/>
    <s v="Amit Sharma"/>
    <x v="6"/>
    <x v="1"/>
    <d v="2025-01-20T00:00:00"/>
    <d v="2025-01-31T00:00:00"/>
    <n v="76574"/>
    <n v="89002"/>
    <x v="0"/>
    <n v="11"/>
    <n v="12428"/>
  </r>
  <r>
    <s v="ORD022"/>
    <s v="Priya Nair"/>
    <x v="0"/>
    <x v="3"/>
    <d v="2025-05-01T00:00:00"/>
    <d v="2025-05-12T00:00:00"/>
    <n v="66347"/>
    <n v="66644"/>
    <x v="0"/>
    <n v="11"/>
    <n v="297"/>
  </r>
  <r>
    <s v="ORD023"/>
    <s v="Rahul Verma"/>
    <x v="1"/>
    <x v="1"/>
    <d v="2025-03-25T00:00:00"/>
    <d v="2025-03-27T00:00:00"/>
    <n v="116751"/>
    <n v="116620"/>
    <x v="0"/>
    <n v="2"/>
    <n v="-131"/>
  </r>
  <r>
    <s v="ORD024"/>
    <s v="Amit Sharma"/>
    <x v="2"/>
    <x v="5"/>
    <d v="2025-02-15T00:00:00"/>
    <d v="2025-02-25T00:00:00"/>
    <n v="99394"/>
    <n v="102244"/>
    <x v="0"/>
    <n v="10"/>
    <n v="2850"/>
  </r>
  <r>
    <s v="ORD025"/>
    <s v="Priya Nair"/>
    <x v="3"/>
    <x v="5"/>
    <d v="2025-06-26T00:00:00"/>
    <d v="2025-07-11T00:00:00"/>
    <n v="101083"/>
    <n v="98421"/>
    <x v="0"/>
    <n v="15"/>
    <n v="-2662"/>
  </r>
  <r>
    <s v="ORD026"/>
    <s v="Rahul Verma"/>
    <x v="4"/>
    <x v="5"/>
    <d v="2025-05-10T00:00:00"/>
    <d v="2025-05-14T00:00:00"/>
    <n v="87905"/>
    <n v="93999"/>
    <x v="0"/>
    <n v="4"/>
    <n v="6094"/>
  </r>
  <r>
    <s v="ORD027"/>
    <s v="Sandeep Reddy"/>
    <x v="5"/>
    <x v="5"/>
    <d v="2025-01-31T00:00:00"/>
    <d v="2025-02-13T00:00:00"/>
    <n v="107716"/>
    <n v="108738"/>
    <x v="0"/>
    <n v="13"/>
    <n v="1022"/>
  </r>
  <r>
    <s v="ORD028"/>
    <s v="Neha Patel"/>
    <x v="6"/>
    <x v="3"/>
    <d v="2025-02-21T00:00:00"/>
    <d v="2025-03-05T00:00:00"/>
    <n v="45006"/>
    <n v="52793"/>
    <x v="0"/>
    <n v="12"/>
    <n v="7787"/>
  </r>
  <r>
    <s v="ORD029"/>
    <s v="Arjun Mehta"/>
    <x v="0"/>
    <x v="3"/>
    <d v="2025-06-21T00:00:00"/>
    <d v="2025-06-24T00:00:00"/>
    <n v="98093"/>
    <n v="106589"/>
    <x v="0"/>
    <n v="3"/>
    <n v="8496"/>
  </r>
  <r>
    <s v="ORD030"/>
    <s v="Kavya Rao"/>
    <x v="1"/>
    <x v="3"/>
    <d v="2025-04-12T00:00:00"/>
    <d v="2025-04-25T00:00:00"/>
    <n v="92005"/>
    <n v="105047"/>
    <x v="0"/>
    <n v="13"/>
    <n v="13042"/>
  </r>
  <r>
    <s v="ORD031"/>
    <s v="Vikram Singh"/>
    <x v="2"/>
    <x v="4"/>
    <d v="2025-04-02T00:00:00"/>
    <d v="2025-04-16T00:00:00"/>
    <n v="89618"/>
    <n v="97561"/>
    <x v="0"/>
    <n v="14"/>
    <n v="7943"/>
  </r>
  <r>
    <s v="ORD032"/>
    <s v="Ananya Iyer"/>
    <x v="0"/>
    <x v="5"/>
    <d v="2025-03-13T00:00:00"/>
    <d v="2025-03-20T00:00:00"/>
    <n v="112094"/>
    <n v="120554"/>
    <x v="0"/>
    <n v="7"/>
    <n v="8460"/>
  </r>
  <r>
    <s v="ORD033"/>
    <s v="Rohit Das"/>
    <x v="1"/>
    <x v="3"/>
    <d v="2025-05-15T00:00:00"/>
    <d v="2025-05-30T00:00:00"/>
    <n v="42179"/>
    <n v="47054"/>
    <x v="0"/>
    <n v="15"/>
    <n v="4875"/>
  </r>
  <r>
    <s v="ORD034"/>
    <s v="Amit Sharma"/>
    <x v="2"/>
    <x v="4"/>
    <d v="2025-03-09T00:00:00"/>
    <d v="2025-03-13T00:00:00"/>
    <n v="70599"/>
    <n v="79889"/>
    <x v="0"/>
    <n v="4"/>
    <n v="9290"/>
  </r>
  <r>
    <s v="ORD035"/>
    <s v="Priya Nair"/>
    <x v="3"/>
    <x v="0"/>
    <d v="2025-03-16T00:00:00"/>
    <d v="2025-03-26T00:00:00"/>
    <n v="116341"/>
    <n v="115932"/>
    <x v="0"/>
    <n v="10"/>
    <n v="-409"/>
  </r>
  <r>
    <s v="ORD036"/>
    <s v="Rahul Verma"/>
    <x v="4"/>
    <x v="5"/>
    <d v="2025-05-03T00:00:00"/>
    <d v="2025-05-05T00:00:00"/>
    <n v="71063"/>
    <n v="80252"/>
    <x v="0"/>
    <n v="2"/>
    <n v="9189"/>
  </r>
  <r>
    <s v="ORD037"/>
    <s v="Sandeep Reddy"/>
    <x v="5"/>
    <x v="0"/>
    <d v="2025-06-01T00:00:00"/>
    <d v="2025-06-07T00:00:00"/>
    <n v="43723"/>
    <n v="39540"/>
    <x v="0"/>
    <n v="6"/>
    <n v="-4183"/>
  </r>
  <r>
    <s v="ORD038"/>
    <s v="Neha Patel"/>
    <x v="6"/>
    <x v="3"/>
    <d v="2025-06-25T00:00:00"/>
    <d v="2025-07-07T00:00:00"/>
    <n v="40574"/>
    <n v="42824"/>
    <x v="0"/>
    <n v="12"/>
    <n v="2250"/>
  </r>
  <r>
    <s v="ORD039"/>
    <s v="Arjun Mehta"/>
    <x v="0"/>
    <x v="4"/>
    <d v="2025-04-14T00:00:00"/>
    <d v="2025-04-28T00:00:00"/>
    <n v="41290"/>
    <n v="41441"/>
    <x v="0"/>
    <n v="14"/>
    <n v="151"/>
  </r>
  <r>
    <s v="ORD040"/>
    <s v="Kavya Rao"/>
    <x v="1"/>
    <x v="3"/>
    <d v="2025-01-15T00:00:00"/>
    <d v="2025-01-24T00:00:00"/>
    <n v="62723"/>
    <n v="71744"/>
    <x v="0"/>
    <n v="9"/>
    <n v="9021"/>
  </r>
  <r>
    <s v="ORD041"/>
    <s v="Vikram Singh"/>
    <x v="2"/>
    <x v="4"/>
    <d v="2025-04-21T00:00:00"/>
    <d v="2025-04-23T00:00:00"/>
    <n v="83419"/>
    <n v="78464"/>
    <x v="0"/>
    <n v="2"/>
    <n v="-4955"/>
  </r>
  <r>
    <s v="ORD042"/>
    <s v="Ananya Iyer"/>
    <x v="3"/>
    <x v="4"/>
    <d v="2025-04-18T00:00:00"/>
    <d v="2025-04-30T00:00:00"/>
    <n v="53864"/>
    <n v="56935"/>
    <x v="0"/>
    <n v="12"/>
    <n v="3071"/>
  </r>
  <r>
    <s v="ORD043"/>
    <s v="Rohit Das"/>
    <x v="4"/>
    <x v="3"/>
    <d v="2025-04-28T00:00:00"/>
    <d v="2025-05-07T00:00:00"/>
    <n v="48784"/>
    <n v="44742"/>
    <x v="0"/>
    <n v="9"/>
    <n v="-4042"/>
  </r>
  <r>
    <s v="ORD044"/>
    <s v="Amit Sharma"/>
    <x v="5"/>
    <x v="5"/>
    <d v="2025-05-23T00:00:00"/>
    <d v="2025-05-30T00:00:00"/>
    <n v="74192"/>
    <n v="79856"/>
    <x v="0"/>
    <n v="7"/>
    <n v="5664"/>
  </r>
  <r>
    <s v="ORD045"/>
    <s v="Priya Nair"/>
    <x v="6"/>
    <x v="4"/>
    <d v="2025-01-17T00:00:00"/>
    <d v="2025-01-27T00:00:00"/>
    <n v="51397"/>
    <n v="50903"/>
    <x v="0"/>
    <n v="10"/>
    <n v="-494"/>
  </r>
  <r>
    <s v="ORD046"/>
    <s v="Rahul Verma"/>
    <x v="0"/>
    <x v="1"/>
    <d v="2025-06-16T00:00:00"/>
    <d v="2025-06-29T00:00:00"/>
    <n v="73882"/>
    <n v="82816"/>
    <x v="0"/>
    <n v="13"/>
    <n v="8934"/>
  </r>
  <r>
    <s v="ORD047"/>
    <s v="Amit Sharma"/>
    <x v="1"/>
    <x v="3"/>
    <d v="2025-01-28T00:00:00"/>
    <d v="2025-02-09T00:00:00"/>
    <n v="74525"/>
    <n v="82745"/>
    <x v="0"/>
    <n v="12"/>
    <n v="8220"/>
  </r>
  <r>
    <s v="ORD048"/>
    <s v="Priya Nair"/>
    <x v="2"/>
    <x v="1"/>
    <d v="2025-05-02T00:00:00"/>
    <d v="2025-05-07T00:00:00"/>
    <n v="92484"/>
    <n v="95467"/>
    <x v="0"/>
    <n v="5"/>
    <n v="2983"/>
  </r>
  <r>
    <s v="ORD049"/>
    <s v="Rahul Verma"/>
    <x v="3"/>
    <x v="3"/>
    <d v="2025-05-17T00:00:00"/>
    <d v="2025-05-31T00:00:00"/>
    <n v="82823"/>
    <n v="77826"/>
    <x v="0"/>
    <n v="14"/>
    <n v="-4997"/>
  </r>
  <r>
    <s v="ORD050"/>
    <s v="Sandeep Reddy"/>
    <x v="4"/>
    <x v="3"/>
    <d v="2025-05-22T00:00:00"/>
    <d v="2025-06-01T00:00:00"/>
    <n v="60231"/>
    <n v="60437"/>
    <x v="0"/>
    <n v="10"/>
    <n v="206"/>
  </r>
  <r>
    <s v="ORD051"/>
    <s v="Neha Patel"/>
    <x v="5"/>
    <x v="4"/>
    <d v="2025-04-08T00:00:00"/>
    <d v="2025-04-15T00:00:00"/>
    <n v="105952"/>
    <n v="116915"/>
    <x v="0"/>
    <n v="7"/>
    <n v="10963"/>
  </r>
  <r>
    <s v="ORD052"/>
    <s v="Arjun Mehta"/>
    <x v="6"/>
    <x v="3"/>
    <d v="2025-06-11T00:00:00"/>
    <d v="2025-06-19T00:00:00"/>
    <n v="45469"/>
    <n v="44132"/>
    <x v="0"/>
    <n v="8"/>
    <n v="-1337"/>
  </r>
  <r>
    <s v="ORD053"/>
    <s v="Kavya Rao"/>
    <x v="0"/>
    <x v="2"/>
    <d v="2025-06-03T00:00:00"/>
    <d v="2025-06-17T00:00:00"/>
    <n v="101422"/>
    <n v="107336"/>
    <x v="0"/>
    <n v="14"/>
    <n v="5914"/>
  </r>
  <r>
    <s v="ORD054"/>
    <s v="Vikram Singh"/>
    <x v="1"/>
    <x v="5"/>
    <d v="2025-06-23T00:00:00"/>
    <d v="2025-06-25T00:00:00"/>
    <n v="51225"/>
    <n v="50748"/>
    <x v="0"/>
    <n v="2"/>
    <n v="-477"/>
  </r>
  <r>
    <s v="ORD055"/>
    <s v="Ananya Iyer"/>
    <x v="2"/>
    <x v="3"/>
    <d v="2025-05-24T00:00:00"/>
    <d v="2025-05-31T00:00:00"/>
    <n v="64986"/>
    <n v="68198"/>
    <x v="0"/>
    <n v="7"/>
    <n v="3212"/>
  </r>
  <r>
    <s v="ORD056"/>
    <s v="Rohit Das"/>
    <x v="0"/>
    <x v="3"/>
    <d v="2025-06-07T00:00:00"/>
    <d v="2025-06-14T00:00:00"/>
    <n v="107145"/>
    <n v="113176"/>
    <x v="0"/>
    <n v="7"/>
    <n v="6031"/>
  </r>
  <r>
    <s v="ORD057"/>
    <s v="Amit Sharma"/>
    <x v="1"/>
    <x v="3"/>
    <d v="2025-04-30T00:00:00"/>
    <d v="2025-05-05T00:00:00"/>
    <n v="70089"/>
    <n v="83061"/>
    <x v="0"/>
    <n v="5"/>
    <n v="12972"/>
  </r>
  <r>
    <s v="ORD058"/>
    <s v="Priya Nair"/>
    <x v="2"/>
    <x v="3"/>
    <d v="2025-02-10T00:00:00"/>
    <d v="2025-02-23T00:00:00"/>
    <n v="42390"/>
    <n v="56966"/>
    <x v="0"/>
    <n v="13"/>
    <n v="14576"/>
  </r>
  <r>
    <s v="ORD059"/>
    <s v="Rahul Verma"/>
    <x v="3"/>
    <x v="1"/>
    <d v="2025-04-27T00:00:00"/>
    <d v="2025-05-10T00:00:00"/>
    <n v="52525"/>
    <n v="54986"/>
    <x v="0"/>
    <n v="13"/>
    <n v="2461"/>
  </r>
  <r>
    <s v="ORD060"/>
    <s v="Sandeep Reddy"/>
    <x v="4"/>
    <x v="0"/>
    <d v="2025-03-06T00:00:00"/>
    <d v="2025-03-10T00:00:00"/>
    <n v="51442"/>
    <n v="57191"/>
    <x v="0"/>
    <n v="4"/>
    <n v="5749"/>
  </r>
  <r>
    <s v="ORD061"/>
    <s v="Neha Patel"/>
    <x v="5"/>
    <x v="1"/>
    <d v="2025-06-30T00:00:00"/>
    <d v="2025-07-02T00:00:00"/>
    <n v="58854"/>
    <n v="61110"/>
    <x v="0"/>
    <n v="2"/>
    <n v="2256"/>
  </r>
  <r>
    <s v="ORD062"/>
    <s v="Arjun Mehta"/>
    <x v="6"/>
    <x v="3"/>
    <d v="2025-06-04T00:00:00"/>
    <d v="2025-06-12T00:00:00"/>
    <n v="100151"/>
    <n v="97771"/>
    <x v="0"/>
    <n v="8"/>
    <n v="-2380"/>
  </r>
  <r>
    <s v="ORD063"/>
    <s v="Kavya Rao"/>
    <x v="0"/>
    <x v="2"/>
    <d v="2025-02-27T00:00:00"/>
    <d v="2025-03-05T00:00:00"/>
    <n v="87736"/>
    <n v="100602"/>
    <x v="0"/>
    <n v="6"/>
    <n v="12866"/>
  </r>
  <r>
    <s v="ORD064"/>
    <s v="Vikram Singh"/>
    <x v="1"/>
    <x v="4"/>
    <d v="2025-04-09T00:00:00"/>
    <d v="2025-04-16T00:00:00"/>
    <n v="68099"/>
    <n v="68591"/>
    <x v="0"/>
    <n v="7"/>
    <n v="492"/>
  </r>
  <r>
    <s v="ORD065"/>
    <s v="Ananya Iyer"/>
    <x v="2"/>
    <x v="5"/>
    <d v="2025-04-05T00:00:00"/>
    <d v="2025-04-15T00:00:00"/>
    <n v="65620"/>
    <n v="63060"/>
    <x v="0"/>
    <n v="10"/>
    <n v="-2560"/>
  </r>
  <r>
    <s v="ORD066"/>
    <s v="Rohit Das"/>
    <x v="3"/>
    <x v="5"/>
    <d v="2025-01-26T00:00:00"/>
    <d v="2025-02-10T00:00:00"/>
    <n v="109700"/>
    <n v="117939"/>
    <x v="0"/>
    <n v="15"/>
    <n v="8239"/>
  </r>
  <r>
    <s v="ORD067"/>
    <s v="Amit Sharma"/>
    <x v="4"/>
    <x v="5"/>
    <d v="2025-01-30T00:00:00"/>
    <d v="2025-02-10T00:00:00"/>
    <n v="119630"/>
    <n v="130013"/>
    <x v="0"/>
    <n v="11"/>
    <n v="10383"/>
  </r>
  <r>
    <s v="ORD068"/>
    <s v="Priya Nair"/>
    <x v="5"/>
    <x v="0"/>
    <d v="2025-04-08T00:00:00"/>
    <d v="2025-04-10T00:00:00"/>
    <n v="58924"/>
    <n v="64978"/>
    <x v="0"/>
    <n v="2"/>
    <n v="6054"/>
  </r>
  <r>
    <s v="ORD069"/>
    <s v="Rahul Verma"/>
    <x v="6"/>
    <x v="5"/>
    <d v="2025-05-27T00:00:00"/>
    <d v="2025-06-01T00:00:00"/>
    <n v="49180"/>
    <n v="54805"/>
    <x v="0"/>
    <n v="5"/>
    <n v="5625"/>
  </r>
  <r>
    <s v="ORD070"/>
    <s v="Sandeep Reddy"/>
    <x v="0"/>
    <x v="0"/>
    <d v="2025-03-18T00:00:00"/>
    <d v="2025-04-01T00:00:00"/>
    <n v="84484"/>
    <n v="89446"/>
    <x v="0"/>
    <n v="14"/>
    <n v="4962"/>
  </r>
  <r>
    <s v="ORD071"/>
    <s v="Neha Patel"/>
    <x v="1"/>
    <x v="3"/>
    <d v="2025-04-11T00:00:00"/>
    <d v="2025-04-15T00:00:00"/>
    <n v="52989"/>
    <n v="58611"/>
    <x v="0"/>
    <n v="4"/>
    <n v="5622"/>
  </r>
  <r>
    <s v="ORD072"/>
    <s v="Arjun Mehta"/>
    <x v="0"/>
    <x v="4"/>
    <d v="2025-02-26T00:00:00"/>
    <d v="2025-03-10T00:00:00"/>
    <n v="114939"/>
    <n v="113697"/>
    <x v="0"/>
    <n v="12"/>
    <n v="-1242"/>
  </r>
  <r>
    <s v="ORD073"/>
    <s v="Kavya Rao"/>
    <x v="1"/>
    <x v="2"/>
    <d v="2025-02-18T00:00:00"/>
    <d v="2025-02-20T00:00:00"/>
    <n v="95889"/>
    <n v="101772"/>
    <x v="0"/>
    <n v="2"/>
    <n v="5883"/>
  </r>
  <r>
    <s v="ORD074"/>
    <s v="Vikram Singh"/>
    <x v="2"/>
    <x v="4"/>
    <d v="2025-05-11T00:00:00"/>
    <d v="2025-05-25T00:00:00"/>
    <n v="119348"/>
    <n v="120261"/>
    <x v="0"/>
    <n v="14"/>
    <n v="913"/>
  </r>
  <r>
    <s v="ORD075"/>
    <s v="Ananya Iyer"/>
    <x v="3"/>
    <x v="2"/>
    <d v="2025-01-11T00:00:00"/>
    <d v="2025-01-15T00:00:00"/>
    <n v="99129"/>
    <n v="97333"/>
    <x v="0"/>
    <n v="4"/>
    <n v="-1796"/>
  </r>
  <r>
    <s v="ORD076"/>
    <s v="Amit Sharma"/>
    <x v="4"/>
    <x v="2"/>
    <d v="2025-02-08T00:00:00"/>
    <d v="2025-02-13T00:00:00"/>
    <n v="53125"/>
    <n v="54805"/>
    <x v="0"/>
    <n v="5"/>
    <n v="1680"/>
  </r>
  <r>
    <s v="ORD077"/>
    <s v="Priya Nair"/>
    <x v="5"/>
    <x v="4"/>
    <d v="2025-03-02T00:00:00"/>
    <d v="2025-03-09T00:00:00"/>
    <n v="93489"/>
    <n v="94352"/>
    <x v="0"/>
    <n v="7"/>
    <n v="863"/>
  </r>
  <r>
    <s v="ORD078"/>
    <s v="Rahul Verma"/>
    <x v="6"/>
    <x v="1"/>
    <d v="2025-02-11T00:00:00"/>
    <d v="2025-02-16T00:00:00"/>
    <n v="109299"/>
    <n v="122939"/>
    <x v="0"/>
    <n v="5"/>
    <n v="13640"/>
  </r>
  <r>
    <s v="ORD079"/>
    <s v="Sandeep Reddy"/>
    <x v="0"/>
    <x v="0"/>
    <d v="2025-04-10T00:00:00"/>
    <d v="2025-04-20T00:00:00"/>
    <n v="117218"/>
    <n v="114568"/>
    <x v="0"/>
    <n v="10"/>
    <n v="-2650"/>
  </r>
  <r>
    <s v="ORD080"/>
    <s v="Neha Patel"/>
    <x v="1"/>
    <x v="4"/>
    <d v="2025-06-12T00:00:00"/>
    <d v="2025-06-23T00:00:00"/>
    <n v="119025"/>
    <n v="116475"/>
    <x v="0"/>
    <n v="11"/>
    <n v="-2550"/>
  </r>
  <r>
    <s v="ORD081"/>
    <s v="Arjun Mehta"/>
    <x v="2"/>
    <x v="0"/>
    <d v="2025-03-11T00:00:00"/>
    <d v="2025-03-25T00:00:00"/>
    <n v="119581"/>
    <n v="117006"/>
    <x v="0"/>
    <n v="14"/>
    <n v="-2575"/>
  </r>
  <r>
    <s v="ORD082"/>
    <s v="Kavya Rao"/>
    <x v="3"/>
    <x v="2"/>
    <d v="2025-06-07T00:00:00"/>
    <d v="2025-06-10T00:00:00"/>
    <n v="116893"/>
    <n v="121696"/>
    <x v="0"/>
    <n v="3"/>
    <n v="4803"/>
  </r>
  <r>
    <s v="ORD083"/>
    <s v="Vikram Singh"/>
    <x v="4"/>
    <x v="1"/>
    <d v="2025-02-17T00:00:00"/>
    <d v="2025-02-28T00:00:00"/>
    <n v="107606"/>
    <n v="104773"/>
    <x v="0"/>
    <n v="11"/>
    <n v="-2833"/>
  </r>
  <r>
    <s v="ORD084"/>
    <s v="Ananya Iyer"/>
    <x v="5"/>
    <x v="5"/>
    <d v="2025-06-17T00:00:00"/>
    <d v="2025-06-29T00:00:00"/>
    <n v="68694"/>
    <n v="81998"/>
    <x v="0"/>
    <n v="12"/>
    <n v="13304"/>
  </r>
  <r>
    <s v="ORD085"/>
    <s v="Rohit Das"/>
    <x v="6"/>
    <x v="1"/>
    <d v="2025-06-18T00:00:00"/>
    <d v="2025-06-24T00:00:00"/>
    <n v="92141"/>
    <n v="103866"/>
    <x v="0"/>
    <n v="6"/>
    <n v="11725"/>
  </r>
  <r>
    <s v="ORD086"/>
    <s v="Amit Sharma"/>
    <x v="0"/>
    <x v="1"/>
    <d v="2025-01-08T00:00:00"/>
    <d v="2025-01-23T00:00:00"/>
    <n v="80393"/>
    <n v="77476"/>
    <x v="0"/>
    <n v="15"/>
    <n v="-2917"/>
  </r>
  <r>
    <s v="ORD087"/>
    <s v="Priya Nair"/>
    <x v="1"/>
    <x v="5"/>
    <d v="2025-06-10T00:00:00"/>
    <d v="2025-06-19T00:00:00"/>
    <n v="41169"/>
    <n v="44470"/>
    <x v="0"/>
    <n v="9"/>
    <n v="3301"/>
  </r>
  <r>
    <s v="ORD088"/>
    <s v="Rahul Verma"/>
    <x v="2"/>
    <x v="3"/>
    <d v="2025-03-05T00:00:00"/>
    <d v="2025-03-09T00:00:00"/>
    <n v="59182"/>
    <n v="72209"/>
    <x v="0"/>
    <n v="4"/>
    <n v="13027"/>
  </r>
  <r>
    <s v="ORD089"/>
    <s v="Sandeep Reddy"/>
    <x v="3"/>
    <x v="2"/>
    <d v="2025-03-24T00:00:00"/>
    <d v="2025-03-31T00:00:00"/>
    <n v="108508"/>
    <n v="106349"/>
    <x v="0"/>
    <n v="7"/>
    <n v="-2159"/>
  </r>
  <r>
    <s v="ORD090"/>
    <s v="Neha Patel"/>
    <x v="4"/>
    <x v="4"/>
    <d v="2025-05-05T00:00:00"/>
    <d v="2025-05-12T00:00:00"/>
    <n v="76608"/>
    <n v="76347"/>
    <x v="0"/>
    <n v="7"/>
    <n v="-261"/>
  </r>
  <r>
    <s v="ORD091"/>
    <s v="Arjun Mehta"/>
    <x v="5"/>
    <x v="1"/>
    <d v="2025-06-01T00:00:00"/>
    <d v="2025-06-07T00:00:00"/>
    <n v="96034"/>
    <n v="110672"/>
    <x v="0"/>
    <n v="6"/>
    <n v="14638"/>
  </r>
  <r>
    <s v="ORD092"/>
    <s v="Kavya Rao"/>
    <x v="6"/>
    <x v="1"/>
    <d v="2025-05-21T00:00:00"/>
    <d v="2025-05-29T00:00:00"/>
    <n v="98060"/>
    <n v="103467"/>
    <x v="0"/>
    <n v="8"/>
    <n v="5407"/>
  </r>
  <r>
    <s v="ORD093"/>
    <s v="Vikram Singh"/>
    <x v="0"/>
    <x v="2"/>
    <d v="2025-04-15T00:00:00"/>
    <d v="2025-04-26T00:00:00"/>
    <n v="50578"/>
    <n v="54893"/>
    <x v="0"/>
    <n v="11"/>
    <n v="4315"/>
  </r>
  <r>
    <s v="ORD094"/>
    <s v="Ananya Iyer"/>
    <x v="1"/>
    <x v="5"/>
    <d v="2025-02-06T00:00:00"/>
    <d v="2025-02-08T00:00:00"/>
    <n v="91040"/>
    <n v="93843"/>
    <x v="0"/>
    <n v="2"/>
    <n v="2803"/>
  </r>
  <r>
    <s v="ORD095"/>
    <s v="Rohit Das"/>
    <x v="2"/>
    <x v="0"/>
    <d v="2025-01-07T00:00:00"/>
    <d v="2025-01-12T00:00:00"/>
    <n v="85345"/>
    <n v="97880"/>
    <x v="0"/>
    <n v="5"/>
    <n v="12535"/>
  </r>
  <r>
    <s v="ORD096"/>
    <s v="Amit Sharma"/>
    <x v="3"/>
    <x v="1"/>
    <d v="2025-01-25T00:00:00"/>
    <d v="2025-01-27T00:00:00"/>
    <n v="117713"/>
    <n v="122550"/>
    <x v="0"/>
    <n v="2"/>
    <n v="4837"/>
  </r>
  <r>
    <s v="ORD097"/>
    <s v="Amit Sharma"/>
    <x v="4"/>
    <x v="4"/>
    <d v="2025-05-09T00:00:00"/>
    <d v="2025-05-15T00:00:00"/>
    <n v="76056"/>
    <n v="90977"/>
    <x v="0"/>
    <n v="6"/>
    <n v="14921"/>
  </r>
  <r>
    <s v="ORD098"/>
    <s v="Priya Nair"/>
    <x v="5"/>
    <x v="4"/>
    <d v="2025-04-08T00:00:00"/>
    <d v="2025-04-14T00:00:00"/>
    <n v="98047"/>
    <n v="93308"/>
    <x v="0"/>
    <n v="6"/>
    <n v="-4739"/>
  </r>
  <r>
    <s v="ORD099"/>
    <s v="Rahul Verma"/>
    <x v="6"/>
    <x v="3"/>
    <d v="2025-02-06T00:00:00"/>
    <d v="2025-02-08T00:00:00"/>
    <n v="115849"/>
    <n v="130015"/>
    <x v="0"/>
    <n v="2"/>
    <n v="14166"/>
  </r>
  <r>
    <s v="ORD100"/>
    <s v="Sandeep Reddy"/>
    <x v="6"/>
    <x v="3"/>
    <d v="2025-04-14T00:00:00"/>
    <d v="2025-04-22T00:00:00"/>
    <n v="46623"/>
    <n v="46391"/>
    <x v="0"/>
    <n v="8"/>
    <n v="-232"/>
  </r>
  <r>
    <s v="ORD101"/>
    <s v="Neha Patel"/>
    <x v="0"/>
    <x v="5"/>
    <d v="2025-04-18T00:00:00"/>
    <d v="2025-04-26T00:00:00"/>
    <n v="58103"/>
    <n v="70858"/>
    <x v="0"/>
    <n v="8"/>
    <n v="12755"/>
  </r>
  <r>
    <s v="ORD102"/>
    <s v="Arjun Mehta"/>
    <x v="1"/>
    <x v="1"/>
    <d v="2025-04-01T00:00:00"/>
    <d v="2025-04-05T00:00:00"/>
    <n v="89567"/>
    <n v="93661"/>
    <x v="0"/>
    <n v="4"/>
    <n v="4094"/>
  </r>
  <r>
    <s v="ORD103"/>
    <s v="Kavya Rao"/>
    <x v="2"/>
    <x v="3"/>
    <d v="2025-02-22T00:00:00"/>
    <d v="2025-03-04T00:00:00"/>
    <n v="116728"/>
    <n v="114383"/>
    <x v="0"/>
    <n v="10"/>
    <n v="-2345"/>
  </r>
  <r>
    <s v="ORD104"/>
    <s v="Vikram Singh"/>
    <x v="3"/>
    <x v="4"/>
    <d v="2025-04-30T00:00:00"/>
    <d v="2025-05-15T00:00:00"/>
    <n v="91915"/>
    <n v="87593"/>
    <x v="0"/>
    <n v="15"/>
    <n v="-4322"/>
  </r>
  <r>
    <s v="ORD105"/>
    <s v="Ananya Iyer"/>
    <x v="4"/>
    <x v="5"/>
    <d v="2025-02-05T00:00:00"/>
    <d v="2025-02-20T00:00:00"/>
    <n v="62820"/>
    <n v="69973"/>
    <x v="0"/>
    <n v="15"/>
    <n v="7153"/>
  </r>
  <r>
    <s v="ORD106"/>
    <s v="Rohit Das"/>
    <x v="5"/>
    <x v="2"/>
    <d v="2025-04-10T00:00:00"/>
    <d v="2025-04-12T00:00:00"/>
    <n v="101410"/>
    <n v="109464"/>
    <x v="0"/>
    <n v="2"/>
    <n v="8054"/>
  </r>
  <r>
    <s v="ORD107"/>
    <s v="Amit Sharma"/>
    <x v="6"/>
    <x v="0"/>
    <d v="2025-05-28T00:00:00"/>
    <d v="2025-06-12T00:00:00"/>
    <n v="66391"/>
    <n v="66625"/>
    <x v="0"/>
    <n v="15"/>
    <n v="234"/>
  </r>
  <r>
    <s v="ORD108"/>
    <s v="Priya Nair"/>
    <x v="6"/>
    <x v="3"/>
    <d v="2025-01-06T00:00:00"/>
    <d v="2025-01-11T00:00:00"/>
    <n v="95242"/>
    <n v="98440"/>
    <x v="0"/>
    <n v="5"/>
    <n v="3198"/>
  </r>
  <r>
    <s v="ORD109"/>
    <s v="Rahul Verma"/>
    <x v="1"/>
    <x v="0"/>
    <d v="2025-06-21T00:00:00"/>
    <d v="2025-06-29T00:00:00"/>
    <n v="73820"/>
    <n v="83201"/>
    <x v="0"/>
    <n v="8"/>
    <n v="9381"/>
  </r>
  <r>
    <s v="ORD110"/>
    <s v="Sandeep Reddy"/>
    <x v="2"/>
    <x v="5"/>
    <d v="2025-05-18T00:00:00"/>
    <d v="2025-05-30T00:00:00"/>
    <n v="105649"/>
    <n v="112678"/>
    <x v="0"/>
    <n v="12"/>
    <n v="7029"/>
  </r>
  <r>
    <s v="ORD111"/>
    <s v="Neha Patel"/>
    <x v="3"/>
    <x v="3"/>
    <d v="2025-01-15T00:00:00"/>
    <d v="2025-01-30T00:00:00"/>
    <n v="63419"/>
    <n v="61451"/>
    <x v="0"/>
    <n v="15"/>
    <n v="-1968"/>
  </r>
  <r>
    <s v="ORD112"/>
    <s v="Arjun Mehta"/>
    <x v="4"/>
    <x v="3"/>
    <d v="2025-05-12T00:00:00"/>
    <d v="2025-05-25T00:00:00"/>
    <n v="44328"/>
    <n v="57454"/>
    <x v="0"/>
    <n v="13"/>
    <n v="13126"/>
  </r>
  <r>
    <s v="ORD113"/>
    <s v="Kavya Rao"/>
    <x v="5"/>
    <x v="1"/>
    <d v="2025-04-12T00:00:00"/>
    <d v="2025-04-15T00:00:00"/>
    <n v="78752"/>
    <n v="82894"/>
    <x v="0"/>
    <n v="3"/>
    <n v="4142"/>
  </r>
  <r>
    <s v="ORD114"/>
    <s v="Vikram Singh"/>
    <x v="6"/>
    <x v="1"/>
    <d v="2025-01-17T00:00:00"/>
    <d v="2025-01-27T00:00:00"/>
    <n v="90354"/>
    <n v="87568"/>
    <x v="0"/>
    <n v="10"/>
    <n v="-2786"/>
  </r>
  <r>
    <s v="ORD115"/>
    <s v="Ananya Iyer"/>
    <x v="6"/>
    <x v="3"/>
    <d v="2025-01-20T00:00:00"/>
    <d v="2025-01-28T00:00:00"/>
    <n v="45977"/>
    <n v="43270"/>
    <x v="0"/>
    <n v="8"/>
    <n v="-2707"/>
  </r>
  <r>
    <s v="ORD116"/>
    <s v="Rohit Das"/>
    <x v="1"/>
    <x v="4"/>
    <d v="2025-01-27T00:00:00"/>
    <d v="2025-02-01T00:00:00"/>
    <n v="81968"/>
    <n v="84186"/>
    <x v="0"/>
    <n v="5"/>
    <n v="2218"/>
  </r>
  <r>
    <s v="ORD117"/>
    <s v="Amit Sharma"/>
    <x v="2"/>
    <x v="1"/>
    <d v="2025-04-19T00:00:00"/>
    <d v="2025-04-21T00:00:00"/>
    <n v="102278"/>
    <n v="99678"/>
    <x v="0"/>
    <n v="2"/>
    <n v="-2600"/>
  </r>
  <r>
    <s v="ORD118"/>
    <s v="Priya Nair"/>
    <x v="3"/>
    <x v="2"/>
    <d v="2025-02-03T00:00:00"/>
    <d v="2025-02-08T00:00:00"/>
    <n v="105919"/>
    <n v="106578"/>
    <x v="0"/>
    <n v="5"/>
    <n v="659"/>
  </r>
  <r>
    <s v="ORD119"/>
    <s v="Rahul Verma"/>
    <x v="4"/>
    <x v="5"/>
    <d v="2025-06-06T00:00:00"/>
    <d v="2025-06-11T00:00:00"/>
    <n v="103864"/>
    <n v="105647"/>
    <x v="0"/>
    <n v="5"/>
    <n v="1783"/>
  </r>
  <r>
    <s v="ORD120"/>
    <s v="Amit Sharma"/>
    <x v="5"/>
    <x v="4"/>
    <d v="2025-02-03T00:00:00"/>
    <d v="2025-02-10T00:00:00"/>
    <n v="72987"/>
    <n v="72986"/>
    <x v="0"/>
    <n v="7"/>
    <n v="-1"/>
  </r>
  <r>
    <s v="ORD121"/>
    <s v="Priya Nair"/>
    <x v="6"/>
    <x v="1"/>
    <d v="2025-04-02T00:00:00"/>
    <d v="2025-04-10T00:00:00"/>
    <n v="95255"/>
    <n v="92662"/>
    <x v="0"/>
    <n v="8"/>
    <n v="-2593"/>
  </r>
  <r>
    <s v="ORD122"/>
    <s v="Rahul Verma"/>
    <x v="6"/>
    <x v="0"/>
    <d v="2025-02-07T00:00:00"/>
    <d v="2025-02-22T00:00:00"/>
    <n v="89691"/>
    <n v="96599"/>
    <x v="0"/>
    <n v="15"/>
    <n v="6908"/>
  </r>
  <r>
    <s v="ORD123"/>
    <s v="Sandeep Reddy"/>
    <x v="1"/>
    <x v="3"/>
    <d v="2025-01-16T00:00:00"/>
    <d v="2025-01-26T00:00:00"/>
    <n v="46565"/>
    <n v="55051"/>
    <x v="0"/>
    <n v="10"/>
    <n v="8486"/>
  </r>
  <r>
    <s v="ORD124"/>
    <s v="Neha Patel"/>
    <x v="2"/>
    <x v="1"/>
    <d v="2025-05-11T00:00:00"/>
    <d v="2025-05-25T00:00:00"/>
    <n v="102610"/>
    <n v="98800"/>
    <x v="0"/>
    <n v="14"/>
    <n v="-3810"/>
  </r>
  <r>
    <s v="ORD125"/>
    <s v="Arjun Mehta"/>
    <x v="3"/>
    <x v="2"/>
    <d v="2025-04-25T00:00:00"/>
    <d v="2025-05-09T00:00:00"/>
    <n v="43249"/>
    <n v="45225"/>
    <x v="0"/>
    <n v="14"/>
    <n v="1976"/>
  </r>
  <r>
    <s v="ORD126"/>
    <s v="Kavya Rao"/>
    <x v="4"/>
    <x v="5"/>
    <d v="2025-03-22T00:00:00"/>
    <d v="2025-03-26T00:00:00"/>
    <n v="51330"/>
    <n v="65293"/>
    <x v="0"/>
    <n v="4"/>
    <n v="13963"/>
  </r>
  <r>
    <s v="ORD127"/>
    <s v="Vikram Singh"/>
    <x v="5"/>
    <x v="0"/>
    <d v="2025-02-24T00:00:00"/>
    <d v="2025-03-06T00:00:00"/>
    <n v="74476"/>
    <n v="85116"/>
    <x v="0"/>
    <n v="10"/>
    <n v="10640"/>
  </r>
  <r>
    <s v="ORD128"/>
    <s v="Ananya Iyer"/>
    <x v="6"/>
    <x v="5"/>
    <d v="2025-02-07T00:00:00"/>
    <d v="2025-02-20T00:00:00"/>
    <n v="60076"/>
    <n v="58739"/>
    <x v="0"/>
    <n v="13"/>
    <n v="-1337"/>
  </r>
  <r>
    <s v="ORD129"/>
    <s v="Rohit Das"/>
    <x v="2"/>
    <x v="3"/>
    <d v="2025-05-23T00:00:00"/>
    <d v="2025-06-04T00:00:00"/>
    <n v="69129"/>
    <n v="73791"/>
    <x v="0"/>
    <n v="12"/>
    <n v="4662"/>
  </r>
  <r>
    <s v="ORD130"/>
    <s v="Amit Sharma"/>
    <x v="3"/>
    <x v="5"/>
    <d v="2025-05-31T00:00:00"/>
    <d v="2025-06-15T00:00:00"/>
    <n v="118856"/>
    <n v="114840"/>
    <x v="0"/>
    <n v="15"/>
    <n v="-4016"/>
  </r>
  <r>
    <s v="ORD131"/>
    <s v="Priya Nair"/>
    <x v="4"/>
    <x v="0"/>
    <d v="2025-05-29T00:00:00"/>
    <d v="2025-06-09T00:00:00"/>
    <n v="78762"/>
    <n v="92943"/>
    <x v="0"/>
    <n v="11"/>
    <n v="14181"/>
  </r>
  <r>
    <s v="ORD132"/>
    <s v="Rahul Verma"/>
    <x v="5"/>
    <x v="2"/>
    <d v="2025-06-03T00:00:00"/>
    <d v="2025-06-17T00:00:00"/>
    <n v="112178"/>
    <n v="115566"/>
    <x v="0"/>
    <n v="14"/>
    <n v="3388"/>
  </r>
  <r>
    <s v="ORD133"/>
    <s v="Sandeep Reddy"/>
    <x v="6"/>
    <x v="1"/>
    <d v="2025-04-04T00:00:00"/>
    <d v="2025-04-11T00:00:00"/>
    <n v="86469"/>
    <n v="83088"/>
    <x v="0"/>
    <n v="7"/>
    <n v="-3381"/>
  </r>
  <r>
    <s v="ORD134"/>
    <s v="Neha Patel"/>
    <x v="6"/>
    <x v="4"/>
    <d v="2025-04-28T00:00:00"/>
    <d v="2025-05-10T00:00:00"/>
    <n v="62915"/>
    <n v="62861"/>
    <x v="0"/>
    <n v="12"/>
    <n v="-54"/>
  </r>
  <r>
    <s v="ORD135"/>
    <s v="Arjun Mehta"/>
    <x v="1"/>
    <x v="5"/>
    <d v="2025-03-23T00:00:00"/>
    <d v="2025-03-29T00:00:00"/>
    <n v="53766"/>
    <n v="64787"/>
    <x v="0"/>
    <n v="6"/>
    <n v="11021"/>
  </r>
  <r>
    <s v="ORD136"/>
    <s v="Kavya Rao"/>
    <x v="2"/>
    <x v="1"/>
    <d v="2025-05-29T00:00:00"/>
    <d v="2025-06-05T00:00:00"/>
    <n v="98341"/>
    <n v="99602"/>
    <x v="0"/>
    <n v="7"/>
    <n v="1261"/>
  </r>
  <r>
    <s v="ORD137"/>
    <s v="Vikram Singh"/>
    <x v="3"/>
    <x v="1"/>
    <d v="2025-03-30T00:00:00"/>
    <d v="2025-04-13T00:00:00"/>
    <n v="68405"/>
    <n v="70181"/>
    <x v="0"/>
    <n v="14"/>
    <n v="1776"/>
  </r>
  <r>
    <s v="ORD138"/>
    <s v="Ananya Iyer"/>
    <x v="4"/>
    <x v="4"/>
    <d v="2025-03-25T00:00:00"/>
    <d v="2025-04-01T00:00:00"/>
    <n v="46478"/>
    <n v="57103"/>
    <x v="0"/>
    <n v="7"/>
    <n v="10625"/>
  </r>
  <r>
    <s v="ORD139"/>
    <s v="Rohit Das"/>
    <x v="5"/>
    <x v="4"/>
    <d v="2025-03-20T00:00:00"/>
    <d v="2025-04-01T00:00:00"/>
    <n v="56885"/>
    <n v="64913"/>
    <x v="0"/>
    <n v="12"/>
    <n v="8028"/>
  </r>
  <r>
    <s v="ORD140"/>
    <s v="Amit Sharma"/>
    <x v="6"/>
    <x v="1"/>
    <d v="2025-04-18T00:00:00"/>
    <d v="2025-04-24T00:00:00"/>
    <n v="48782"/>
    <n v="53361"/>
    <x v="0"/>
    <n v="6"/>
    <n v="4579"/>
  </r>
  <r>
    <s v="ORD141"/>
    <s v="Priya Nair"/>
    <x v="6"/>
    <x v="2"/>
    <d v="2025-05-15T00:00:00"/>
    <d v="2025-05-27T00:00:00"/>
    <n v="86105"/>
    <n v="93918"/>
    <x v="0"/>
    <n v="12"/>
    <n v="7813"/>
  </r>
  <r>
    <s v="ORD142"/>
    <s v="Rahul Verma"/>
    <x v="1"/>
    <x v="3"/>
    <d v="2025-04-09T00:00:00"/>
    <d v="2025-04-24T00:00:00"/>
    <n v="68302"/>
    <n v="70272"/>
    <x v="0"/>
    <n v="15"/>
    <n v="1970"/>
  </r>
  <r>
    <s v="ORD143"/>
    <s v="Amit Sharma"/>
    <x v="2"/>
    <x v="3"/>
    <d v="2025-05-03T00:00:00"/>
    <d v="2025-05-15T00:00:00"/>
    <n v="57179"/>
    <n v="56154"/>
    <x v="0"/>
    <n v="12"/>
    <n v="-1025"/>
  </r>
  <r>
    <s v="ORD144"/>
    <s v="Priya Nair"/>
    <x v="3"/>
    <x v="5"/>
    <d v="2025-02-07T00:00:00"/>
    <d v="2025-02-18T00:00:00"/>
    <n v="68194"/>
    <n v="77368"/>
    <x v="0"/>
    <n v="11"/>
    <n v="9174"/>
  </r>
  <r>
    <s v="ORD145"/>
    <s v="Rahul Verma"/>
    <x v="4"/>
    <x v="0"/>
    <d v="2025-05-31T00:00:00"/>
    <d v="2025-06-09T00:00:00"/>
    <n v="97404"/>
    <n v="106216"/>
    <x v="0"/>
    <n v="9"/>
    <n v="8812"/>
  </r>
  <r>
    <s v="ORD146"/>
    <s v="Sandeep Reddy"/>
    <x v="5"/>
    <x v="3"/>
    <d v="2025-01-29T00:00:00"/>
    <d v="2025-02-01T00:00:00"/>
    <n v="95702"/>
    <n v="95173"/>
    <x v="0"/>
    <n v="3"/>
    <n v="-529"/>
  </r>
  <r>
    <s v="ORD147"/>
    <s v="Neha Patel"/>
    <x v="6"/>
    <x v="3"/>
    <d v="2025-02-26T00:00:00"/>
    <d v="2025-03-06T00:00:00"/>
    <n v="115643"/>
    <n v="125970"/>
    <x v="0"/>
    <n v="8"/>
    <n v="10327"/>
  </r>
  <r>
    <s v="ORD148"/>
    <s v="Arjun Mehta"/>
    <x v="2"/>
    <x v="5"/>
    <d v="2025-01-07T00:00:00"/>
    <d v="2025-01-19T00:00:00"/>
    <n v="101146"/>
    <n v="115002"/>
    <x v="0"/>
    <n v="12"/>
    <n v="13856"/>
  </r>
  <r>
    <s v="ORD149"/>
    <s v="Kavya Rao"/>
    <x v="2"/>
    <x v="1"/>
    <d v="2025-01-07T00:00:00"/>
    <d v="2025-01-11T00:00:00"/>
    <n v="80159"/>
    <n v="93310"/>
    <x v="0"/>
    <n v="4"/>
    <n v="13151"/>
  </r>
  <r>
    <s v="ORD150"/>
    <s v="Vikram Singh"/>
    <x v="3"/>
    <x v="5"/>
    <d v="2025-04-25T00:00:00"/>
    <d v="2025-04-28T00:00:00"/>
    <n v="62483"/>
    <n v="64396"/>
    <x v="0"/>
    <n v="3"/>
    <n v="1913"/>
  </r>
  <r>
    <s v="ORD151"/>
    <s v="Ananya Iyer"/>
    <x v="4"/>
    <x v="0"/>
    <d v="2025-04-02T00:00:00"/>
    <d v="2025-04-13T00:00:00"/>
    <n v="77167"/>
    <n v="76418"/>
    <x v="0"/>
    <n v="11"/>
    <n v="-749"/>
  </r>
  <r>
    <s v="ORD152"/>
    <s v="Rohit Das"/>
    <x v="5"/>
    <x v="2"/>
    <d v="2025-03-28T00:00:00"/>
    <d v="2025-04-12T00:00:00"/>
    <n v="91446"/>
    <n v="88527"/>
    <x v="0"/>
    <n v="15"/>
    <n v="-2919"/>
  </r>
  <r>
    <s v="ORD153"/>
    <s v="Amit Sharma"/>
    <x v="6"/>
    <x v="4"/>
    <d v="2025-05-30T00:00:00"/>
    <d v="2025-06-07T00:00:00"/>
    <n v="53666"/>
    <n v="57220"/>
    <x v="0"/>
    <n v="8"/>
    <n v="3554"/>
  </r>
  <r>
    <s v="ORD154"/>
    <s v="Neha Patel"/>
    <x v="6"/>
    <x v="2"/>
    <d v="2025-01-20T00:00:00"/>
    <d v="2025-01-22T00:00:00"/>
    <n v="49599"/>
    <n v="60202"/>
    <x v="0"/>
    <n v="2"/>
    <n v="10603"/>
  </r>
  <r>
    <s v="ORD155"/>
    <s v="Arjun Mehta"/>
    <x v="1"/>
    <x v="4"/>
    <d v="2025-05-18T00:00:00"/>
    <d v="2025-05-26T00:00:00"/>
    <n v="40447"/>
    <n v="41257"/>
    <x v="0"/>
    <n v="8"/>
    <n v="810"/>
  </r>
  <r>
    <s v="ORD156"/>
    <s v="Kavya Rao"/>
    <x v="2"/>
    <x v="0"/>
    <d v="2025-03-31T00:00:00"/>
    <d v="2025-04-06T00:00:00"/>
    <n v="43681"/>
    <n v="51493"/>
    <x v="0"/>
    <n v="6"/>
    <n v="7812"/>
  </r>
  <r>
    <s v="ORD157"/>
    <s v="Vikram Singh"/>
    <x v="3"/>
    <x v="2"/>
    <d v="2025-01-01T00:00:00"/>
    <d v="2025-01-12T00:00:00"/>
    <n v="67856"/>
    <n v="75849"/>
    <x v="0"/>
    <n v="11"/>
    <n v="7993"/>
  </r>
  <r>
    <s v="ORD158"/>
    <s v="Ananya Iyer"/>
    <x v="4"/>
    <x v="2"/>
    <d v="2025-02-24T00:00:00"/>
    <d v="2025-02-28T00:00:00"/>
    <n v="77167"/>
    <n v="87517"/>
    <x v="0"/>
    <n v="4"/>
    <n v="10350"/>
  </r>
  <r>
    <s v="ORD159"/>
    <s v="Rohit Das"/>
    <x v="5"/>
    <x v="2"/>
    <d v="2025-06-24T00:00:00"/>
    <d v="2025-07-02T00:00:00"/>
    <n v="92749"/>
    <n v="99562"/>
    <x v="0"/>
    <n v="8"/>
    <n v="6813"/>
  </r>
  <r>
    <s v="ORD160"/>
    <s v="Amit Sharma"/>
    <x v="6"/>
    <x v="2"/>
    <d v="2025-03-06T00:00:00"/>
    <d v="2025-03-10T00:00:00"/>
    <n v="41026"/>
    <n v="39704"/>
    <x v="0"/>
    <n v="4"/>
    <n v="-1322"/>
  </r>
  <r>
    <s v="ORD161"/>
    <s v="Neha Patel"/>
    <x v="6"/>
    <x v="0"/>
    <d v="2025-01-08T00:00:00"/>
    <d v="2025-01-12T00:00:00"/>
    <n v="108888"/>
    <n v="118611"/>
    <x v="0"/>
    <n v="4"/>
    <n v="9723"/>
  </r>
  <r>
    <s v="ORD162"/>
    <s v="Arjun Mehta"/>
    <x v="1"/>
    <x v="2"/>
    <d v="2025-05-31T00:00:00"/>
    <d v="2025-06-13T00:00:00"/>
    <n v="119226"/>
    <n v="125384"/>
    <x v="0"/>
    <n v="13"/>
    <n v="6158"/>
  </r>
  <r>
    <s v="ORD163"/>
    <s v="Kavya Rao"/>
    <x v="2"/>
    <x v="0"/>
    <d v="2025-04-07T00:00:00"/>
    <d v="2025-04-09T00:00:00"/>
    <n v="56934"/>
    <n v="61643"/>
    <x v="0"/>
    <n v="2"/>
    <n v="4709"/>
  </r>
  <r>
    <s v="ORD164"/>
    <s v="Vikram Singh"/>
    <x v="3"/>
    <x v="5"/>
    <d v="2025-03-03T00:00:00"/>
    <d v="2025-03-14T00:00:00"/>
    <n v="42406"/>
    <n v="50420"/>
    <x v="0"/>
    <n v="11"/>
    <n v="8014"/>
  </r>
  <r>
    <s v="ORD165"/>
    <s v="Ananya Iyer"/>
    <x v="4"/>
    <x v="1"/>
    <d v="2025-03-13T00:00:00"/>
    <d v="2025-03-27T00:00:00"/>
    <n v="45744"/>
    <n v="58058"/>
    <x v="0"/>
    <n v="14"/>
    <n v="12314"/>
  </r>
  <r>
    <s v="ORD166"/>
    <s v="Rohit Das"/>
    <x v="5"/>
    <x v="0"/>
    <d v="2025-03-13T00:00:00"/>
    <d v="2025-03-15T00:00:00"/>
    <n v="74968"/>
    <n v="79573"/>
    <x v="0"/>
    <n v="2"/>
    <n v="4605"/>
  </r>
  <r>
    <s v="ORD167"/>
    <s v="Neha Patel"/>
    <x v="6"/>
    <x v="3"/>
    <d v="2025-01-13T00:00:00"/>
    <d v="2025-01-18T00:00:00"/>
    <n v="107684"/>
    <n v="119993"/>
    <x v="0"/>
    <n v="5"/>
    <n v="12309"/>
  </r>
  <r>
    <s v="ORD168"/>
    <s v="Arjun Mehta"/>
    <x v="2"/>
    <x v="4"/>
    <d v="2025-03-26T00:00:00"/>
    <d v="2025-04-03T00:00:00"/>
    <n v="97656"/>
    <n v="111021"/>
    <x v="0"/>
    <n v="8"/>
    <n v="13365"/>
  </r>
  <r>
    <s v="ORD169"/>
    <s v="Kavya Rao"/>
    <x v="3"/>
    <x v="1"/>
    <d v="2025-01-03T00:00:00"/>
    <d v="2025-01-11T00:00:00"/>
    <n v="81968"/>
    <n v="81859"/>
    <x v="0"/>
    <n v="8"/>
    <n v="-109"/>
  </r>
  <r>
    <s v="ORD170"/>
    <s v="Vikram Singh"/>
    <x v="2"/>
    <x v="2"/>
    <d v="2025-03-28T00:00:00"/>
    <d v="2025-04-09T00:00:00"/>
    <n v="46626"/>
    <n v="53219"/>
    <x v="0"/>
    <n v="12"/>
    <n v="6593"/>
  </r>
  <r>
    <s v="ORD171"/>
    <s v="Ananya Iyer"/>
    <x v="3"/>
    <x v="2"/>
    <d v="2025-01-05T00:00:00"/>
    <d v="2025-01-18T00:00:00"/>
    <n v="90382"/>
    <n v="89717"/>
    <x v="0"/>
    <n v="13"/>
    <n v="-665"/>
  </r>
  <r>
    <s v="ORD172"/>
    <s v="Rohit Das"/>
    <x v="4"/>
    <x v="4"/>
    <d v="2025-06-28T00:00:00"/>
    <d v="2025-07-06T00:00:00"/>
    <n v="53465"/>
    <n v="66426"/>
    <x v="0"/>
    <n v="8"/>
    <n v="12961"/>
  </r>
  <r>
    <s v="ORD173"/>
    <s v="Amit Sharma"/>
    <x v="5"/>
    <x v="2"/>
    <d v="2025-01-03T00:00:00"/>
    <d v="2025-01-13T00:00:00"/>
    <n v="45901"/>
    <n v="53265"/>
    <x v="0"/>
    <n v="10"/>
    <n v="7364"/>
  </r>
  <r>
    <s v="ORD174"/>
    <s v="Neha Patel"/>
    <x v="6"/>
    <x v="3"/>
    <d v="2025-02-06T00:00:00"/>
    <d v="2025-02-18T00:00:00"/>
    <n v="48694"/>
    <n v="44900"/>
    <x v="0"/>
    <n v="12"/>
    <n v="-3794"/>
  </r>
  <r>
    <s v="ORD175"/>
    <s v="Arjun Mehta"/>
    <x v="6"/>
    <x v="3"/>
    <d v="2025-05-12T00:00:00"/>
    <d v="2025-05-17T00:00:00"/>
    <n v="60998"/>
    <n v="62347"/>
    <x v="0"/>
    <n v="5"/>
    <n v="1349"/>
  </r>
  <r>
    <s v="ORD176"/>
    <s v="Kavya Rao"/>
    <x v="1"/>
    <x v="4"/>
    <d v="2025-01-09T00:00:00"/>
    <d v="2025-01-24T00:00:00"/>
    <n v="114283"/>
    <n v="128430"/>
    <x v="0"/>
    <n v="15"/>
    <n v="14147"/>
  </r>
  <r>
    <s v="ORD177"/>
    <s v="Vikram Singh"/>
    <x v="2"/>
    <x v="3"/>
    <d v="2025-04-24T00:00:00"/>
    <d v="2025-04-28T00:00:00"/>
    <n v="86327"/>
    <n v="82041"/>
    <x v="0"/>
    <n v="4"/>
    <n v="-4286"/>
  </r>
  <r>
    <s v="ORD178"/>
    <s v="Ananya Iyer"/>
    <x v="3"/>
    <x v="1"/>
    <d v="2025-01-02T00:00:00"/>
    <d v="2025-01-16T00:00:00"/>
    <n v="90990"/>
    <n v="87170"/>
    <x v="0"/>
    <n v="14"/>
    <n v="-3820"/>
  </r>
  <r>
    <s v="ORD179"/>
    <s v="Rohit Das"/>
    <x v="4"/>
    <x v="3"/>
    <d v="2025-06-14T00:00:00"/>
    <d v="2025-06-26T00:00:00"/>
    <n v="81993"/>
    <n v="95005"/>
    <x v="0"/>
    <n v="12"/>
    <n v="13012"/>
  </r>
  <r>
    <s v="ORD180"/>
    <s v="Amit Sharma"/>
    <x v="5"/>
    <x v="1"/>
    <d v="2025-04-06T00:00:00"/>
    <d v="2025-04-12T00:00:00"/>
    <n v="80633"/>
    <n v="80997"/>
    <x v="0"/>
    <n v="6"/>
    <n v="364"/>
  </r>
  <r>
    <s v="ORD181"/>
    <s v="Neha Patel"/>
    <x v="6"/>
    <x v="5"/>
    <d v="2025-03-02T00:00:00"/>
    <d v="2025-03-14T00:00:00"/>
    <n v="51280"/>
    <n v="56589"/>
    <x v="0"/>
    <n v="12"/>
    <n v="5309"/>
  </r>
  <r>
    <s v="ORD182"/>
    <s v="Arjun Mehta"/>
    <x v="6"/>
    <x v="3"/>
    <d v="2025-04-10T00:00:00"/>
    <d v="2025-04-25T00:00:00"/>
    <n v="75404"/>
    <n v="78781"/>
    <x v="0"/>
    <n v="15"/>
    <n v="3377"/>
  </r>
  <r>
    <s v="ORD183"/>
    <s v="Kavya Rao"/>
    <x v="1"/>
    <x v="0"/>
    <d v="2025-03-22T00:00:00"/>
    <d v="2025-04-01T00:00:00"/>
    <n v="112787"/>
    <n v="127629"/>
    <x v="0"/>
    <n v="10"/>
    <n v="14842"/>
  </r>
  <r>
    <s v="ORD184"/>
    <s v="Vikram Singh"/>
    <x v="2"/>
    <x v="2"/>
    <d v="2025-01-19T00:00:00"/>
    <d v="2025-01-24T00:00:00"/>
    <n v="49599"/>
    <n v="56134"/>
    <x v="0"/>
    <n v="5"/>
    <n v="6535"/>
  </r>
  <r>
    <s v="ORD185"/>
    <s v="Ananya Iyer"/>
    <x v="3"/>
    <x v="3"/>
    <d v="2025-03-19T00:00:00"/>
    <d v="2025-04-02T00:00:00"/>
    <n v="85498"/>
    <n v="81045"/>
    <x v="0"/>
    <n v="14"/>
    <n v="-4453"/>
  </r>
  <r>
    <s v="ORD186"/>
    <s v="Rohit Das"/>
    <x v="4"/>
    <x v="1"/>
    <d v="2025-02-08T00:00:00"/>
    <d v="2025-02-15T00:00:00"/>
    <n v="74002"/>
    <n v="81090"/>
    <x v="0"/>
    <n v="7"/>
    <n v="7088"/>
  </r>
  <r>
    <s v="ORD187"/>
    <s v="Neha Patel"/>
    <x v="5"/>
    <x v="3"/>
    <d v="2025-04-27T00:00:00"/>
    <d v="2025-05-11T00:00:00"/>
    <n v="91353"/>
    <n v="87961"/>
    <x v="0"/>
    <n v="14"/>
    <n v="-3392"/>
  </r>
  <r>
    <s v="ORD188"/>
    <s v="Neha Patel"/>
    <x v="6"/>
    <x v="5"/>
    <d v="2025-05-22T00:00:00"/>
    <d v="2025-06-03T00:00:00"/>
    <n v="51565"/>
    <n v="48082"/>
    <x v="0"/>
    <n v="12"/>
    <n v="-3483"/>
  </r>
  <r>
    <s v="ORD189"/>
    <s v="Arjun Mehta"/>
    <x v="2"/>
    <x v="4"/>
    <d v="2025-06-15T00:00:00"/>
    <d v="2025-06-19T00:00:00"/>
    <n v="63972"/>
    <n v="77942"/>
    <x v="0"/>
    <n v="4"/>
    <n v="13970"/>
  </r>
  <r>
    <s v="ORD190"/>
    <s v="Kavya Rao"/>
    <x v="3"/>
    <x v="3"/>
    <d v="2025-02-12T00:00:00"/>
    <d v="2025-02-26T00:00:00"/>
    <n v="67563"/>
    <n v="70238"/>
    <x v="0"/>
    <n v="14"/>
    <n v="2675"/>
  </r>
  <r>
    <s v="ORD191"/>
    <s v="Vikram Singh"/>
    <x v="4"/>
    <x v="1"/>
    <d v="2025-05-17T00:00:00"/>
    <d v="2025-05-27T00:00:00"/>
    <n v="84865"/>
    <n v="84467"/>
    <x v="0"/>
    <n v="10"/>
    <n v="-398"/>
  </r>
  <r>
    <s v="ORD192"/>
    <s v="Ananya Iyer"/>
    <x v="5"/>
    <x v="0"/>
    <d v="2025-03-22T00:00:00"/>
    <d v="2025-03-27T00:00:00"/>
    <n v="107554"/>
    <n v="109994"/>
    <x v="0"/>
    <n v="5"/>
    <n v="2440"/>
  </r>
  <r>
    <s v="ORD193"/>
    <s v="Rohit Das"/>
    <x v="1"/>
    <x v="3"/>
    <d v="2025-03-07T00:00:00"/>
    <d v="2025-03-17T00:00:00"/>
    <n v="53362"/>
    <n v="66648"/>
    <x v="0"/>
    <n v="10"/>
    <n v="13286"/>
  </r>
  <r>
    <s v="ORD194"/>
    <s v="Amit Sharma"/>
    <x v="2"/>
    <x v="4"/>
    <d v="2025-05-13T00:00:00"/>
    <d v="2025-05-28T00:00:00"/>
    <n v="41480"/>
    <n v="50190"/>
    <x v="0"/>
    <n v="15"/>
    <n v="8710"/>
  </r>
  <r>
    <s v="ORD195"/>
    <s v="Neha Patel"/>
    <x v="3"/>
    <x v="4"/>
    <d v="2025-05-03T00:00:00"/>
    <d v="2025-05-11T00:00:00"/>
    <n v="62711"/>
    <n v="62324"/>
    <x v="0"/>
    <n v="8"/>
    <n v="-387"/>
  </r>
  <r>
    <s v="ORD196"/>
    <s v="Arjun Mehta"/>
    <x v="4"/>
    <x v="1"/>
    <d v="2025-04-16T00:00:00"/>
    <d v="2025-04-30T00:00:00"/>
    <n v="115213"/>
    <n v="128303"/>
    <x v="0"/>
    <n v="14"/>
    <n v="13090"/>
  </r>
  <r>
    <s v="ORD197"/>
    <s v="Kavya Rao"/>
    <x v="5"/>
    <x v="2"/>
    <d v="2025-03-14T00:00:00"/>
    <d v="2025-03-27T00:00:00"/>
    <n v="108726"/>
    <n v="116224"/>
    <x v="0"/>
    <n v="13"/>
    <n v="7498"/>
  </r>
  <r>
    <s v="ORD198"/>
    <s v="Vikram Singh"/>
    <x v="6"/>
    <x v="2"/>
    <d v="2025-01-17T00:00:00"/>
    <d v="2025-01-21T00:00:00"/>
    <n v="119350"/>
    <n v="134128"/>
    <x v="0"/>
    <n v="4"/>
    <n v="14778"/>
  </r>
  <r>
    <s v="ORD199"/>
    <s v="Ananya Iyer"/>
    <x v="2"/>
    <x v="2"/>
    <d v="2025-02-05T00:00:00"/>
    <d v="2025-02-19T00:00:00"/>
    <n v="54126"/>
    <n v="54615"/>
    <x v="0"/>
    <n v="14"/>
    <n v="489"/>
  </r>
  <r>
    <s v="ORD200"/>
    <s v="Rohit Das"/>
    <x v="3"/>
    <x v="0"/>
    <d v="2025-02-28T00:00:00"/>
    <d v="2025-03-03T00:00:00"/>
    <n v="89485"/>
    <n v="96480"/>
    <x v="0"/>
    <n v="3"/>
    <n v="6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3FFA3-EECD-4904-9FD1-73C4FB1E8276}" name="PivotTable3" cacheId="96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H12" firstHeaderRow="1" firstDataRow="2" firstDataCol="1" rowPageCount="1" colPageCount="1"/>
  <pivotFields count="11">
    <pivotField compact="0" outline="0" showAll="0"/>
    <pivotField compact="0" outline="0" showAll="0"/>
    <pivotField axis="axisRow" compact="0" outline="0" showAll="0">
      <items count="8">
        <item x="6"/>
        <item x="5"/>
        <item x="3"/>
        <item x="1"/>
        <item x="0"/>
        <item x="4"/>
        <item x="2"/>
        <item t="default"/>
      </items>
    </pivotField>
    <pivotField axis="axisCol" compact="0" outline="0" showAll="0">
      <items count="7">
        <item x="3"/>
        <item x="2"/>
        <item x="4"/>
        <item x="0"/>
        <item x="5"/>
        <item x="1"/>
        <item t="default"/>
      </items>
    </pivotField>
    <pivotField compact="0" numFmtId="14" outline="0" showAll="0"/>
    <pivotField compact="0" numFmtId="14" outline="0" showAll="0"/>
    <pivotField compact="0" outline="0" showAll="0"/>
    <pivotField dataField="1" compact="0" numFmtId="164" outline="0" showAll="0"/>
    <pivotField axis="axisPage" compact="0" outline="0" showAll="0">
      <items count="2">
        <item x="0"/>
        <item t="default"/>
      </items>
    </pivotField>
    <pivotField compact="0" outline="0" showAll="0"/>
    <pivotField compact="0" numFmtId="164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8" hier="-1"/>
  </pageFields>
  <dataFields count="1">
    <dataField name="Sum of Actual_Cost" fld="7" baseField="0" baseItem="0" numFmtId="164"/>
  </dataFields>
  <chartFormats count="252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4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4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4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4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4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14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14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4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4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4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4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4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14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14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4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4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4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4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4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14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2"/>
          </reference>
        </references>
      </pivotArea>
    </chartFormat>
    <chartFormat chart="14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4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4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4" format="7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4" format="7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4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14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4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4" format="8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4" format="8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4" format="8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14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14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4"/>
          </reference>
        </references>
      </pivotArea>
    </chartFormat>
    <chartFormat chart="14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8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4" format="9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14" format="9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14" format="9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14" format="9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14" format="9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14" format="9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15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9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5" format="9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5" format="9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5" format="10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5" format="10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5" format="10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15" format="10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15" format="1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0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5" format="10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5" format="10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5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5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5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15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15" format="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5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5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5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5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5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15" format="11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2"/>
          </reference>
        </references>
      </pivotArea>
    </chartFormat>
    <chartFormat chart="15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5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5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5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5" format="12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5" format="12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15" format="12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15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1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5" format="1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5" format="1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5" format="1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5" format="13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15" format="13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15" format="13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4"/>
          </reference>
        </references>
      </pivotArea>
    </chartFormat>
    <chartFormat chart="15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13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5" format="13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15" format="13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15" format="14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15" format="14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15" format="14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15" format="14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16" format="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4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6" format="1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6" format="14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6" format="14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6" format="14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6" format="15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16" format="15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16" format="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5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6" format="15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6" format="15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6" format="15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6" format="15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6" format="15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16" format="15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16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6" format="16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6" format="16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6" format="16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6" format="16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6" format="16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16" format="16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2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6" format="17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6" format="17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6" format="17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6" format="17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6" format="17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16" format="17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16" format="1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7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6" format="17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6" format="17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6" format="18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6" format="18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16" format="18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16" format="18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4"/>
          </reference>
        </references>
      </pivotArea>
    </chartFormat>
    <chartFormat chart="16" format="1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8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6" format="18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16" format="18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16" format="18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16" format="18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16" format="19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16" format="19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17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9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7" format="19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7" format="19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7" format="19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7" format="19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7" format="19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17" format="19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17" format="2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0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7" format="20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7" format="20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7" format="20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7" format="20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7" format="20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17" format="20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17" format="2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20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7" format="2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7" format="2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7" format="2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7" format="21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7" format="21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17" format="21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2"/>
          </reference>
        </references>
      </pivotArea>
    </chartFormat>
    <chartFormat chart="17" format="2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21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7" format="2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7" format="2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7" format="22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7" format="22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7" format="22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17" format="22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17" format="2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2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7" format="2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7" format="2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7" format="2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7" format="2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17" format="23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17" format="23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4"/>
          </reference>
        </references>
      </pivotArea>
    </chartFormat>
    <chartFormat chart="17" format="2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3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7" format="23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17" format="23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17" format="23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17" format="23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17" format="23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17" format="23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N11" sqref="N11"/>
    </sheetView>
  </sheetViews>
  <sheetFormatPr defaultRowHeight="15"/>
  <cols>
    <col min="2" max="2" width="15.5703125" style="2" bestFit="1" customWidth="1"/>
    <col min="3" max="3" width="11.140625" style="2" bestFit="1" customWidth="1"/>
    <col min="4" max="4" width="13.5703125" style="2" customWidth="1"/>
    <col min="5" max="5" width="11.140625" style="2" bestFit="1" customWidth="1"/>
    <col min="6" max="6" width="13.140625" style="2" bestFit="1" customWidth="1"/>
    <col min="7" max="7" width="12.85546875" style="2" bestFit="1" customWidth="1"/>
    <col min="8" max="8" width="11.7109375" style="3" bestFit="1" customWidth="1"/>
    <col min="9" max="9" width="12.42578125" style="2" bestFit="1" customWidth="1"/>
    <col min="10" max="10" width="11" bestFit="1" customWidth="1"/>
    <col min="11" max="11" width="12.7109375" bestFit="1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</row>
    <row r="2" spans="1:11">
      <c r="A2" t="s">
        <v>11</v>
      </c>
      <c r="B2" s="2" t="s">
        <v>12</v>
      </c>
      <c r="C2" s="2" t="s">
        <v>13</v>
      </c>
      <c r="D2" s="2" t="str" cm="1">
        <f t="array" aca="1" ref="D2" ca="1">INDEX({"Laptop","Smartphone","Headphones","Smartwatch","Tablet","Monitor"}, RANDBETWEEN(1,6))</f>
        <v>Monitor</v>
      </c>
      <c r="E2" s="4">
        <f ca="1">DATE(2025,1,1) + RANDBETWEEN(0,180)</f>
        <v>45798</v>
      </c>
      <c r="F2" s="4">
        <f ca="1">E2 + RANDBETWEEN(2,15)</f>
        <v>45808</v>
      </c>
      <c r="G2" s="2">
        <f ca="1">RANDBETWEEN(40000,120000)</f>
        <v>105632</v>
      </c>
      <c r="H2" s="3">
        <f ca="1">G2 + RANDBETWEEN(-5000,15000)</f>
        <v>114405</v>
      </c>
      <c r="I2" s="2" t="str">
        <f ca="1">IF(K2=0,"On Time","Delayed")</f>
        <v>Delayed</v>
      </c>
      <c r="J2" s="2">
        <f ca="1">F2-E2</f>
        <v>10</v>
      </c>
      <c r="K2" s="3">
        <f ca="1">H2-G2</f>
        <v>8773</v>
      </c>
    </row>
    <row r="3" spans="1:11">
      <c r="A3" t="s">
        <v>14</v>
      </c>
      <c r="B3" s="2" t="s">
        <v>15</v>
      </c>
      <c r="C3" s="2" t="s">
        <v>16</v>
      </c>
      <c r="D3" s="2" t="str" cm="1">
        <f t="array" aca="1" ref="D3" ca="1">INDEX({"Laptop","Smartphone","Headphones","Smartwatch","Tablet","Monitor"}, RANDBETWEEN(1,6))</f>
        <v>Headphones</v>
      </c>
      <c r="E3" s="4">
        <f t="shared" ref="E3:E66" ca="1" si="0">DATE(2025,1,1) + RANDBETWEEN(0,180)</f>
        <v>45667</v>
      </c>
      <c r="F3" s="4">
        <f t="shared" ref="F3:F66" ca="1" si="1">E3 + RANDBETWEEN(2,15)</f>
        <v>45669</v>
      </c>
      <c r="G3" s="2">
        <f t="shared" ref="G3:G66" ca="1" si="2">RANDBETWEEN(40000,120000)</f>
        <v>88872</v>
      </c>
      <c r="H3" s="3">
        <f t="shared" ref="H3:H66" ca="1" si="3">G3 + RANDBETWEEN(-5000,15000)</f>
        <v>90741</v>
      </c>
      <c r="I3" s="2" t="str">
        <f t="shared" ref="I3:I66" ca="1" si="4">IF(K3=0,"On Time","Delayed")</f>
        <v>Delayed</v>
      </c>
      <c r="J3" s="2">
        <f t="shared" ref="J3:J66" ca="1" si="5">F3-E3</f>
        <v>2</v>
      </c>
      <c r="K3" s="3">
        <f t="shared" ref="K3:K66" ca="1" si="6">H3-G3</f>
        <v>1869</v>
      </c>
    </row>
    <row r="4" spans="1:11">
      <c r="A4" t="s">
        <v>17</v>
      </c>
      <c r="B4" s="2" t="s">
        <v>18</v>
      </c>
      <c r="C4" s="2" t="s">
        <v>19</v>
      </c>
      <c r="D4" s="2" t="str" cm="1">
        <f t="array" aca="1" ref="D4" ca="1">INDEX({"Laptop","Smartphone","Headphones","Smartwatch","Tablet","Monitor"}, RANDBETWEEN(1,6))</f>
        <v>Smartphone</v>
      </c>
      <c r="E4" s="4">
        <f t="shared" ca="1" si="0"/>
        <v>45681</v>
      </c>
      <c r="F4" s="4">
        <f t="shared" ca="1" si="1"/>
        <v>45693</v>
      </c>
      <c r="G4" s="2">
        <f t="shared" ca="1" si="2"/>
        <v>112266</v>
      </c>
      <c r="H4" s="3">
        <f t="shared" ca="1" si="3"/>
        <v>108046</v>
      </c>
      <c r="I4" s="2" t="str">
        <f t="shared" ca="1" si="4"/>
        <v>Delayed</v>
      </c>
      <c r="J4" s="2">
        <f t="shared" ca="1" si="5"/>
        <v>12</v>
      </c>
      <c r="K4" s="3">
        <f t="shared" ca="1" si="6"/>
        <v>-4220</v>
      </c>
    </row>
    <row r="5" spans="1:11">
      <c r="A5" t="s">
        <v>20</v>
      </c>
      <c r="B5" s="2" t="s">
        <v>21</v>
      </c>
      <c r="C5" s="2" t="s">
        <v>22</v>
      </c>
      <c r="D5" s="2" t="str" cm="1">
        <f t="array" aca="1" ref="D5" ca="1">INDEX({"Laptop","Smartphone","Headphones","Smartwatch","Tablet","Monitor"}, RANDBETWEEN(1,6))</f>
        <v>Smartwatch</v>
      </c>
      <c r="E5" s="4">
        <f t="shared" ca="1" si="0"/>
        <v>45666</v>
      </c>
      <c r="F5" s="4">
        <f t="shared" ca="1" si="1"/>
        <v>45679</v>
      </c>
      <c r="G5" s="2">
        <f t="shared" ca="1" si="2"/>
        <v>71458</v>
      </c>
      <c r="H5" s="3">
        <f t="shared" ca="1" si="3"/>
        <v>69148</v>
      </c>
      <c r="I5" s="2" t="str">
        <f t="shared" ca="1" si="4"/>
        <v>Delayed</v>
      </c>
      <c r="J5" s="2">
        <f t="shared" ca="1" si="5"/>
        <v>13</v>
      </c>
      <c r="K5" s="3">
        <f t="shared" ca="1" si="6"/>
        <v>-2310</v>
      </c>
    </row>
    <row r="6" spans="1:11">
      <c r="A6" t="s">
        <v>23</v>
      </c>
      <c r="B6" s="2" t="s">
        <v>24</v>
      </c>
      <c r="C6" s="2" t="s">
        <v>25</v>
      </c>
      <c r="D6" s="2" t="str" cm="1">
        <f t="array" aca="1" ref="D6" ca="1">INDEX({"Laptop","Smartphone","Headphones","Smartwatch","Tablet","Monitor"}, RANDBETWEEN(1,6))</f>
        <v>Monitor</v>
      </c>
      <c r="E6" s="4">
        <f t="shared" ca="1" si="0"/>
        <v>45742</v>
      </c>
      <c r="F6" s="4">
        <f t="shared" ca="1" si="1"/>
        <v>45755</v>
      </c>
      <c r="G6" s="2">
        <f t="shared" ca="1" si="2"/>
        <v>56844</v>
      </c>
      <c r="H6" s="3">
        <f t="shared" ca="1" si="3"/>
        <v>71083</v>
      </c>
      <c r="I6" s="2" t="str">
        <f t="shared" ca="1" si="4"/>
        <v>Delayed</v>
      </c>
      <c r="J6" s="2">
        <f t="shared" ca="1" si="5"/>
        <v>13</v>
      </c>
      <c r="K6" s="3">
        <f t="shared" ca="1" si="6"/>
        <v>14239</v>
      </c>
    </row>
    <row r="7" spans="1:11">
      <c r="A7" t="s">
        <v>26</v>
      </c>
      <c r="B7" s="2" t="s">
        <v>27</v>
      </c>
      <c r="C7" s="2" t="s">
        <v>28</v>
      </c>
      <c r="D7" s="2" t="str" cm="1">
        <f t="array" aca="1" ref="D7" ca="1">INDEX({"Laptop","Smartphone","Headphones","Smartwatch","Tablet","Monitor"}, RANDBETWEEN(1,6))</f>
        <v>Smartphone</v>
      </c>
      <c r="E7" s="4">
        <f t="shared" ca="1" si="0"/>
        <v>45736</v>
      </c>
      <c r="F7" s="4">
        <f t="shared" ca="1" si="1"/>
        <v>45744</v>
      </c>
      <c r="G7" s="2">
        <f t="shared" ca="1" si="2"/>
        <v>42141</v>
      </c>
      <c r="H7" s="3">
        <f t="shared" ca="1" si="3"/>
        <v>39401</v>
      </c>
      <c r="I7" s="2" t="str">
        <f t="shared" ca="1" si="4"/>
        <v>Delayed</v>
      </c>
      <c r="J7" s="2">
        <f t="shared" ca="1" si="5"/>
        <v>8</v>
      </c>
      <c r="K7" s="3">
        <f t="shared" ca="1" si="6"/>
        <v>-2740</v>
      </c>
    </row>
    <row r="8" spans="1:11">
      <c r="A8" t="s">
        <v>29</v>
      </c>
      <c r="B8" s="2" t="s">
        <v>30</v>
      </c>
      <c r="C8" s="2" t="s">
        <v>31</v>
      </c>
      <c r="D8" s="2" t="str" cm="1">
        <f t="array" aca="1" ref="D8" ca="1">INDEX({"Laptop","Smartphone","Headphones","Smartwatch","Tablet","Monitor"}, RANDBETWEEN(1,6))</f>
        <v>Monitor</v>
      </c>
      <c r="E8" s="4">
        <f t="shared" ca="1" si="0"/>
        <v>45817</v>
      </c>
      <c r="F8" s="4">
        <f t="shared" ca="1" si="1"/>
        <v>45830</v>
      </c>
      <c r="G8" s="2">
        <f t="shared" ca="1" si="2"/>
        <v>51991</v>
      </c>
      <c r="H8" s="3">
        <f t="shared" ca="1" si="3"/>
        <v>56518</v>
      </c>
      <c r="I8" s="2" t="str">
        <f t="shared" ca="1" si="4"/>
        <v>Delayed</v>
      </c>
      <c r="J8" s="2">
        <f t="shared" ca="1" si="5"/>
        <v>13</v>
      </c>
      <c r="K8" s="3">
        <f t="shared" ca="1" si="6"/>
        <v>4527</v>
      </c>
    </row>
    <row r="9" spans="1:11">
      <c r="A9" t="s">
        <v>32</v>
      </c>
      <c r="B9" s="2" t="s">
        <v>33</v>
      </c>
      <c r="C9" s="2" t="s">
        <v>13</v>
      </c>
      <c r="D9" s="2" t="str" cm="1">
        <f t="array" aca="1" ref="D9" ca="1">INDEX({"Laptop","Smartphone","Headphones","Smartwatch","Tablet","Monitor"}, RANDBETWEEN(1,6))</f>
        <v>Tablet</v>
      </c>
      <c r="E9" s="4">
        <f t="shared" ca="1" si="0"/>
        <v>45689</v>
      </c>
      <c r="F9" s="4">
        <f t="shared" ca="1" si="1"/>
        <v>45700</v>
      </c>
      <c r="G9" s="2">
        <f t="shared" ca="1" si="2"/>
        <v>61624</v>
      </c>
      <c r="H9" s="3">
        <f t="shared" ca="1" si="3"/>
        <v>74808</v>
      </c>
      <c r="I9" s="2" t="str">
        <f t="shared" ca="1" si="4"/>
        <v>Delayed</v>
      </c>
      <c r="J9" s="2">
        <f t="shared" ca="1" si="5"/>
        <v>11</v>
      </c>
      <c r="K9" s="3">
        <f t="shared" ca="1" si="6"/>
        <v>13184</v>
      </c>
    </row>
    <row r="10" spans="1:11">
      <c r="A10" t="s">
        <v>34</v>
      </c>
      <c r="B10" s="2" t="s">
        <v>35</v>
      </c>
      <c r="C10" s="2" t="s">
        <v>16</v>
      </c>
      <c r="D10" s="2" t="str" cm="1">
        <f t="array" aca="1" ref="D10" ca="1">INDEX({"Laptop","Smartphone","Headphones","Smartwatch","Tablet","Monitor"}, RANDBETWEEN(1,6))</f>
        <v>Monitor</v>
      </c>
      <c r="E10" s="4">
        <f t="shared" ca="1" si="0"/>
        <v>45736</v>
      </c>
      <c r="F10" s="4">
        <f t="shared" ca="1" si="1"/>
        <v>45751</v>
      </c>
      <c r="G10" s="2">
        <f t="shared" ca="1" si="2"/>
        <v>111304</v>
      </c>
      <c r="H10" s="3">
        <f t="shared" ca="1" si="3"/>
        <v>110403</v>
      </c>
      <c r="I10" s="2" t="str">
        <f t="shared" ca="1" si="4"/>
        <v>Delayed</v>
      </c>
      <c r="J10" s="2">
        <f t="shared" ca="1" si="5"/>
        <v>15</v>
      </c>
      <c r="K10" s="3">
        <f t="shared" ca="1" si="6"/>
        <v>-901</v>
      </c>
    </row>
    <row r="11" spans="1:11">
      <c r="A11" t="s">
        <v>36</v>
      </c>
      <c r="B11" s="2" t="s">
        <v>37</v>
      </c>
      <c r="C11" s="2" t="s">
        <v>19</v>
      </c>
      <c r="D11" s="2" t="str" cm="1">
        <f t="array" aca="1" ref="D11" ca="1">INDEX({"Laptop","Smartphone","Headphones","Smartwatch","Tablet","Monitor"}, RANDBETWEEN(1,6))</f>
        <v>Tablet</v>
      </c>
      <c r="E11" s="4">
        <f t="shared" ca="1" si="0"/>
        <v>45703</v>
      </c>
      <c r="F11" s="4">
        <f t="shared" ca="1" si="1"/>
        <v>45706</v>
      </c>
      <c r="G11" s="2">
        <f t="shared" ca="1" si="2"/>
        <v>48109</v>
      </c>
      <c r="H11" s="3">
        <f t="shared" ca="1" si="3"/>
        <v>48135</v>
      </c>
      <c r="I11" s="2" t="str">
        <f t="shared" ca="1" si="4"/>
        <v>Delayed</v>
      </c>
      <c r="J11" s="2">
        <f t="shared" ca="1" si="5"/>
        <v>3</v>
      </c>
      <c r="K11" s="3">
        <f t="shared" ca="1" si="6"/>
        <v>26</v>
      </c>
    </row>
    <row r="12" spans="1:11">
      <c r="A12" t="s">
        <v>38</v>
      </c>
      <c r="B12" s="2" t="s">
        <v>12</v>
      </c>
      <c r="C12" s="2" t="s">
        <v>22</v>
      </c>
      <c r="D12" s="2" t="str" cm="1">
        <f t="array" aca="1" ref="D12" ca="1">INDEX({"Laptop","Smartphone","Headphones","Smartwatch","Tablet","Monitor"}, RANDBETWEEN(1,6))</f>
        <v>Headphones</v>
      </c>
      <c r="E12" s="4">
        <f t="shared" ca="1" si="0"/>
        <v>45765</v>
      </c>
      <c r="F12" s="4">
        <f t="shared" ca="1" si="1"/>
        <v>45780</v>
      </c>
      <c r="G12" s="2">
        <f t="shared" ca="1" si="2"/>
        <v>114093</v>
      </c>
      <c r="H12" s="3">
        <f t="shared" ca="1" si="3"/>
        <v>125309</v>
      </c>
      <c r="I12" s="2" t="str">
        <f t="shared" ca="1" si="4"/>
        <v>Delayed</v>
      </c>
      <c r="J12" s="2">
        <f t="shared" ca="1" si="5"/>
        <v>15</v>
      </c>
      <c r="K12" s="3">
        <f t="shared" ca="1" si="6"/>
        <v>11216</v>
      </c>
    </row>
    <row r="13" spans="1:11">
      <c r="A13" t="s">
        <v>39</v>
      </c>
      <c r="B13" s="2" t="s">
        <v>15</v>
      </c>
      <c r="C13" s="2" t="s">
        <v>25</v>
      </c>
      <c r="D13" s="2" t="str" cm="1">
        <f t="array" aca="1" ref="D13" ca="1">INDEX({"Laptop","Smartphone","Headphones","Smartwatch","Tablet","Monitor"}, RANDBETWEEN(1,6))</f>
        <v>Laptop</v>
      </c>
      <c r="E13" s="4">
        <f t="shared" ca="1" si="0"/>
        <v>45770</v>
      </c>
      <c r="F13" s="4">
        <f t="shared" ca="1" si="1"/>
        <v>45776</v>
      </c>
      <c r="G13" s="2">
        <f t="shared" ca="1" si="2"/>
        <v>63575</v>
      </c>
      <c r="H13" s="3">
        <f t="shared" ca="1" si="3"/>
        <v>59917</v>
      </c>
      <c r="I13" s="2" t="str">
        <f t="shared" ca="1" si="4"/>
        <v>Delayed</v>
      </c>
      <c r="J13" s="2">
        <f t="shared" ca="1" si="5"/>
        <v>6</v>
      </c>
      <c r="K13" s="3">
        <f t="shared" ca="1" si="6"/>
        <v>-3658</v>
      </c>
    </row>
    <row r="14" spans="1:11">
      <c r="A14" t="s">
        <v>40</v>
      </c>
      <c r="B14" s="2" t="s">
        <v>18</v>
      </c>
      <c r="C14" s="2" t="s">
        <v>28</v>
      </c>
      <c r="D14" s="2" t="str" cm="1">
        <f t="array" aca="1" ref="D14" ca="1">INDEX({"Laptop","Smartphone","Headphones","Smartwatch","Tablet","Monitor"}, RANDBETWEEN(1,6))</f>
        <v>Monitor</v>
      </c>
      <c r="E14" s="4">
        <f t="shared" ca="1" si="0"/>
        <v>45659</v>
      </c>
      <c r="F14" s="4">
        <f t="shared" ca="1" si="1"/>
        <v>45666</v>
      </c>
      <c r="G14" s="2">
        <f t="shared" ca="1" si="2"/>
        <v>54975</v>
      </c>
      <c r="H14" s="3">
        <f t="shared" ca="1" si="3"/>
        <v>64413</v>
      </c>
      <c r="I14" s="2" t="str">
        <f t="shared" ca="1" si="4"/>
        <v>Delayed</v>
      </c>
      <c r="J14" s="2">
        <f t="shared" ca="1" si="5"/>
        <v>7</v>
      </c>
      <c r="K14" s="3">
        <f t="shared" ca="1" si="6"/>
        <v>9438</v>
      </c>
    </row>
    <row r="15" spans="1:11">
      <c r="A15" t="s">
        <v>41</v>
      </c>
      <c r="B15" s="2" t="s">
        <v>21</v>
      </c>
      <c r="C15" s="2" t="s">
        <v>31</v>
      </c>
      <c r="D15" s="2" t="str" cm="1">
        <f t="array" aca="1" ref="D15" ca="1">INDEX({"Laptop","Smartphone","Headphones","Smartwatch","Tablet","Monitor"}, RANDBETWEEN(1,6))</f>
        <v>Monitor</v>
      </c>
      <c r="E15" s="4">
        <f t="shared" ca="1" si="0"/>
        <v>45666</v>
      </c>
      <c r="F15" s="4">
        <f t="shared" ca="1" si="1"/>
        <v>45680</v>
      </c>
      <c r="G15" s="2">
        <f t="shared" ca="1" si="2"/>
        <v>115453</v>
      </c>
      <c r="H15" s="3">
        <f t="shared" ca="1" si="3"/>
        <v>115143</v>
      </c>
      <c r="I15" s="2" t="str">
        <f t="shared" ca="1" si="4"/>
        <v>Delayed</v>
      </c>
      <c r="J15" s="2">
        <f t="shared" ca="1" si="5"/>
        <v>14</v>
      </c>
      <c r="K15" s="3">
        <f t="shared" ca="1" si="6"/>
        <v>-310</v>
      </c>
    </row>
    <row r="16" spans="1:11">
      <c r="A16" t="s">
        <v>42</v>
      </c>
      <c r="B16" s="2" t="s">
        <v>24</v>
      </c>
      <c r="C16" s="2" t="s">
        <v>13</v>
      </c>
      <c r="D16" s="2" t="str" cm="1">
        <f t="array" aca="1" ref="D16" ca="1">INDEX({"Laptop","Smartphone","Headphones","Smartwatch","Tablet","Monitor"}, RANDBETWEEN(1,6))</f>
        <v>Laptop</v>
      </c>
      <c r="E16" s="4">
        <f t="shared" ca="1" si="0"/>
        <v>45660</v>
      </c>
      <c r="F16" s="4">
        <f t="shared" ca="1" si="1"/>
        <v>45668</v>
      </c>
      <c r="G16" s="2">
        <f t="shared" ca="1" si="2"/>
        <v>117702</v>
      </c>
      <c r="H16" s="3">
        <f t="shared" ca="1" si="3"/>
        <v>132565</v>
      </c>
      <c r="I16" s="2" t="str">
        <f t="shared" ca="1" si="4"/>
        <v>Delayed</v>
      </c>
      <c r="J16" s="2">
        <f t="shared" ca="1" si="5"/>
        <v>8</v>
      </c>
      <c r="K16" s="3">
        <f t="shared" ca="1" si="6"/>
        <v>14863</v>
      </c>
    </row>
    <row r="17" spans="1:11">
      <c r="A17" t="s">
        <v>43</v>
      </c>
      <c r="B17" s="2" t="s">
        <v>27</v>
      </c>
      <c r="C17" s="2" t="s">
        <v>16</v>
      </c>
      <c r="D17" s="2" t="str" cm="1">
        <f t="array" aca="1" ref="D17" ca="1">INDEX({"Laptop","Smartphone","Headphones","Smartwatch","Tablet","Monitor"}, RANDBETWEEN(1,6))</f>
        <v>Smartwatch</v>
      </c>
      <c r="E17" s="4">
        <f t="shared" ca="1" si="0"/>
        <v>45787</v>
      </c>
      <c r="F17" s="4">
        <f t="shared" ca="1" si="1"/>
        <v>45796</v>
      </c>
      <c r="G17" s="2">
        <f t="shared" ca="1" si="2"/>
        <v>81792</v>
      </c>
      <c r="H17" s="3">
        <f t="shared" ca="1" si="3"/>
        <v>87816</v>
      </c>
      <c r="I17" s="2" t="str">
        <f t="shared" ca="1" si="4"/>
        <v>Delayed</v>
      </c>
      <c r="J17" s="2">
        <f t="shared" ca="1" si="5"/>
        <v>9</v>
      </c>
      <c r="K17" s="3">
        <f t="shared" ca="1" si="6"/>
        <v>6024</v>
      </c>
    </row>
    <row r="18" spans="1:11">
      <c r="A18" t="s">
        <v>44</v>
      </c>
      <c r="B18" s="2" t="s">
        <v>30</v>
      </c>
      <c r="C18" s="2" t="s">
        <v>19</v>
      </c>
      <c r="D18" s="2" t="str" cm="1">
        <f t="array" aca="1" ref="D18" ca="1">INDEX({"Laptop","Smartphone","Headphones","Smartwatch","Tablet","Monitor"}, RANDBETWEEN(1,6))</f>
        <v>Monitor</v>
      </c>
      <c r="E18" s="4">
        <f t="shared" ca="1" si="0"/>
        <v>45767</v>
      </c>
      <c r="F18" s="4">
        <f t="shared" ca="1" si="1"/>
        <v>45769</v>
      </c>
      <c r="G18" s="2">
        <f t="shared" ca="1" si="2"/>
        <v>82488</v>
      </c>
      <c r="H18" s="3">
        <f t="shared" ca="1" si="3"/>
        <v>83697</v>
      </c>
      <c r="I18" s="2" t="str">
        <f t="shared" ca="1" si="4"/>
        <v>Delayed</v>
      </c>
      <c r="J18" s="2">
        <f t="shared" ca="1" si="5"/>
        <v>2</v>
      </c>
      <c r="K18" s="3">
        <f t="shared" ca="1" si="6"/>
        <v>1209</v>
      </c>
    </row>
    <row r="19" spans="1:11">
      <c r="A19" t="s">
        <v>45</v>
      </c>
      <c r="B19" s="2" t="s">
        <v>33</v>
      </c>
      <c r="C19" s="2" t="s">
        <v>22</v>
      </c>
      <c r="D19" s="2" t="str" cm="1">
        <f t="array" aca="1" ref="D19" ca="1">INDEX({"Laptop","Smartphone","Headphones","Smartwatch","Tablet","Monitor"}, RANDBETWEEN(1,6))</f>
        <v>Laptop</v>
      </c>
      <c r="E19" s="4">
        <f t="shared" ca="1" si="0"/>
        <v>45669</v>
      </c>
      <c r="F19" s="4">
        <f t="shared" ca="1" si="1"/>
        <v>45675</v>
      </c>
      <c r="G19" s="2">
        <f t="shared" ca="1" si="2"/>
        <v>72336</v>
      </c>
      <c r="H19" s="3">
        <f t="shared" ca="1" si="3"/>
        <v>80114</v>
      </c>
      <c r="I19" s="2" t="str">
        <f t="shared" ca="1" si="4"/>
        <v>Delayed</v>
      </c>
      <c r="J19" s="2">
        <f t="shared" ca="1" si="5"/>
        <v>6</v>
      </c>
      <c r="K19" s="3">
        <f t="shared" ca="1" si="6"/>
        <v>7778</v>
      </c>
    </row>
    <row r="20" spans="1:11">
      <c r="A20" t="s">
        <v>46</v>
      </c>
      <c r="B20" s="2" t="s">
        <v>35</v>
      </c>
      <c r="C20" s="2" t="s">
        <v>25</v>
      </c>
      <c r="D20" s="2" t="str" cm="1">
        <f t="array" aca="1" ref="D20" ca="1">INDEX({"Laptop","Smartphone","Headphones","Smartwatch","Tablet","Monitor"}, RANDBETWEEN(1,6))</f>
        <v>Headphones</v>
      </c>
      <c r="E20" s="4">
        <f t="shared" ca="1" si="0"/>
        <v>45740</v>
      </c>
      <c r="F20" s="4">
        <f t="shared" ca="1" si="1"/>
        <v>45747</v>
      </c>
      <c r="G20" s="2">
        <f t="shared" ca="1" si="2"/>
        <v>47562</v>
      </c>
      <c r="H20" s="3">
        <f t="shared" ca="1" si="3"/>
        <v>51910</v>
      </c>
      <c r="I20" s="2" t="str">
        <f t="shared" ca="1" si="4"/>
        <v>Delayed</v>
      </c>
      <c r="J20" s="2">
        <f t="shared" ca="1" si="5"/>
        <v>7</v>
      </c>
      <c r="K20" s="3">
        <f t="shared" ca="1" si="6"/>
        <v>4348</v>
      </c>
    </row>
    <row r="21" spans="1:11">
      <c r="A21" t="s">
        <v>47</v>
      </c>
      <c r="B21" s="2" t="s">
        <v>37</v>
      </c>
      <c r="C21" s="2" t="s">
        <v>28</v>
      </c>
      <c r="D21" s="2" t="str" cm="1">
        <f t="array" aca="1" ref="D21" ca="1">INDEX({"Laptop","Smartphone","Headphones","Smartwatch","Tablet","Monitor"}, RANDBETWEEN(1,6))</f>
        <v>Smartwatch</v>
      </c>
      <c r="E21" s="4">
        <f t="shared" ca="1" si="0"/>
        <v>45729</v>
      </c>
      <c r="F21" s="4">
        <f t="shared" ca="1" si="1"/>
        <v>45743</v>
      </c>
      <c r="G21" s="2">
        <f t="shared" ca="1" si="2"/>
        <v>91191</v>
      </c>
      <c r="H21" s="3">
        <f t="shared" ca="1" si="3"/>
        <v>102983</v>
      </c>
      <c r="I21" s="2" t="str">
        <f t="shared" ca="1" si="4"/>
        <v>Delayed</v>
      </c>
      <c r="J21" s="2">
        <f t="shared" ca="1" si="5"/>
        <v>14</v>
      </c>
      <c r="K21" s="3">
        <f t="shared" ca="1" si="6"/>
        <v>11792</v>
      </c>
    </row>
    <row r="22" spans="1:11">
      <c r="A22" t="s">
        <v>48</v>
      </c>
      <c r="B22" s="2" t="s">
        <v>12</v>
      </c>
      <c r="C22" s="2" t="s">
        <v>31</v>
      </c>
      <c r="D22" s="2" t="str" cm="1">
        <f t="array" aca="1" ref="D22" ca="1">INDEX({"Laptop","Smartphone","Headphones","Smartwatch","Tablet","Monitor"}, RANDBETWEEN(1,6))</f>
        <v>Tablet</v>
      </c>
      <c r="E22" s="4">
        <f t="shared" ca="1" si="0"/>
        <v>45753</v>
      </c>
      <c r="F22" s="4">
        <f t="shared" ca="1" si="1"/>
        <v>45767</v>
      </c>
      <c r="G22" s="2">
        <f t="shared" ca="1" si="2"/>
        <v>101311</v>
      </c>
      <c r="H22" s="3">
        <f t="shared" ca="1" si="3"/>
        <v>96866</v>
      </c>
      <c r="I22" s="2" t="str">
        <f t="shared" ca="1" si="4"/>
        <v>Delayed</v>
      </c>
      <c r="J22" s="2">
        <f t="shared" ca="1" si="5"/>
        <v>14</v>
      </c>
      <c r="K22" s="3">
        <f t="shared" ca="1" si="6"/>
        <v>-4445</v>
      </c>
    </row>
    <row r="23" spans="1:11">
      <c r="A23" t="s">
        <v>49</v>
      </c>
      <c r="B23" s="2" t="s">
        <v>15</v>
      </c>
      <c r="C23" s="2" t="s">
        <v>13</v>
      </c>
      <c r="D23" s="2" t="str" cm="1">
        <f t="array" aca="1" ref="D23" ca="1">INDEX({"Laptop","Smartphone","Headphones","Smartwatch","Tablet","Monitor"}, RANDBETWEEN(1,6))</f>
        <v>Monitor</v>
      </c>
      <c r="E23" s="4">
        <f t="shared" ca="1" si="0"/>
        <v>45746</v>
      </c>
      <c r="F23" s="4">
        <f t="shared" ca="1" si="1"/>
        <v>45749</v>
      </c>
      <c r="G23" s="2">
        <f t="shared" ca="1" si="2"/>
        <v>72457</v>
      </c>
      <c r="H23" s="3">
        <f t="shared" ca="1" si="3"/>
        <v>75846</v>
      </c>
      <c r="I23" s="2" t="str">
        <f t="shared" ca="1" si="4"/>
        <v>Delayed</v>
      </c>
      <c r="J23" s="2">
        <f t="shared" ca="1" si="5"/>
        <v>3</v>
      </c>
      <c r="K23" s="3">
        <f t="shared" ca="1" si="6"/>
        <v>3389</v>
      </c>
    </row>
    <row r="24" spans="1:11">
      <c r="A24" t="s">
        <v>50</v>
      </c>
      <c r="B24" s="2" t="s">
        <v>18</v>
      </c>
      <c r="C24" s="2" t="s">
        <v>16</v>
      </c>
      <c r="D24" s="2" t="str" cm="1">
        <f t="array" aca="1" ref="D24" ca="1">INDEX({"Laptop","Smartphone","Headphones","Smartwatch","Tablet","Monitor"}, RANDBETWEEN(1,6))</f>
        <v>Smartphone</v>
      </c>
      <c r="E24" s="4">
        <f t="shared" ca="1" si="0"/>
        <v>45796</v>
      </c>
      <c r="F24" s="4">
        <f t="shared" ca="1" si="1"/>
        <v>45798</v>
      </c>
      <c r="G24" s="2">
        <f t="shared" ca="1" si="2"/>
        <v>66826</v>
      </c>
      <c r="H24" s="3">
        <f t="shared" ca="1" si="3"/>
        <v>63753</v>
      </c>
      <c r="I24" s="2" t="str">
        <f t="shared" ca="1" si="4"/>
        <v>Delayed</v>
      </c>
      <c r="J24" s="2">
        <f t="shared" ca="1" si="5"/>
        <v>2</v>
      </c>
      <c r="K24" s="3">
        <f t="shared" ca="1" si="6"/>
        <v>-3073</v>
      </c>
    </row>
    <row r="25" spans="1:11">
      <c r="A25" t="s">
        <v>51</v>
      </c>
      <c r="B25" s="2" t="s">
        <v>12</v>
      </c>
      <c r="C25" s="2" t="s">
        <v>19</v>
      </c>
      <c r="D25" s="2" t="str" cm="1">
        <f t="array" aca="1" ref="D25" ca="1">INDEX({"Laptop","Smartphone","Headphones","Smartwatch","Tablet","Monitor"}, RANDBETWEEN(1,6))</f>
        <v>Monitor</v>
      </c>
      <c r="E25" s="4">
        <f t="shared" ca="1" si="0"/>
        <v>45825</v>
      </c>
      <c r="F25" s="4">
        <f t="shared" ca="1" si="1"/>
        <v>45838</v>
      </c>
      <c r="G25" s="2">
        <f t="shared" ca="1" si="2"/>
        <v>51141</v>
      </c>
      <c r="H25" s="3">
        <f t="shared" ca="1" si="3"/>
        <v>46806</v>
      </c>
      <c r="I25" s="2" t="str">
        <f t="shared" ca="1" si="4"/>
        <v>Delayed</v>
      </c>
      <c r="J25" s="2">
        <f t="shared" ca="1" si="5"/>
        <v>13</v>
      </c>
      <c r="K25" s="3">
        <f t="shared" ca="1" si="6"/>
        <v>-4335</v>
      </c>
    </row>
    <row r="26" spans="1:11">
      <c r="A26" t="s">
        <v>52</v>
      </c>
      <c r="B26" s="2" t="s">
        <v>15</v>
      </c>
      <c r="C26" s="2" t="s">
        <v>22</v>
      </c>
      <c r="D26" s="2" t="str" cm="1">
        <f t="array" aca="1" ref="D26" ca="1">INDEX({"Laptop","Smartphone","Headphones","Smartwatch","Tablet","Monitor"}, RANDBETWEEN(1,6))</f>
        <v>Smartwatch</v>
      </c>
      <c r="E26" s="4">
        <f t="shared" ca="1" si="0"/>
        <v>45812</v>
      </c>
      <c r="F26" s="4">
        <f t="shared" ca="1" si="1"/>
        <v>45816</v>
      </c>
      <c r="G26" s="2">
        <f t="shared" ca="1" si="2"/>
        <v>98008</v>
      </c>
      <c r="H26" s="3">
        <f t="shared" ca="1" si="3"/>
        <v>99226</v>
      </c>
      <c r="I26" s="2" t="str">
        <f t="shared" ca="1" si="4"/>
        <v>Delayed</v>
      </c>
      <c r="J26" s="2">
        <f t="shared" ca="1" si="5"/>
        <v>4</v>
      </c>
      <c r="K26" s="3">
        <f t="shared" ca="1" si="6"/>
        <v>1218</v>
      </c>
    </row>
    <row r="27" spans="1:11">
      <c r="A27" t="s">
        <v>53</v>
      </c>
      <c r="B27" s="2" t="s">
        <v>18</v>
      </c>
      <c r="C27" s="2" t="s">
        <v>25</v>
      </c>
      <c r="D27" s="2" t="str" cm="1">
        <f t="array" aca="1" ref="D27" ca="1">INDEX({"Laptop","Smartphone","Headphones","Smartwatch","Tablet","Monitor"}, RANDBETWEEN(1,6))</f>
        <v>Monitor</v>
      </c>
      <c r="E27" s="4">
        <f t="shared" ca="1" si="0"/>
        <v>45684</v>
      </c>
      <c r="F27" s="4">
        <f t="shared" ca="1" si="1"/>
        <v>45698</v>
      </c>
      <c r="G27" s="2">
        <f t="shared" ca="1" si="2"/>
        <v>109022</v>
      </c>
      <c r="H27" s="3">
        <f t="shared" ca="1" si="3"/>
        <v>117218</v>
      </c>
      <c r="I27" s="2" t="str">
        <f t="shared" ca="1" si="4"/>
        <v>Delayed</v>
      </c>
      <c r="J27" s="2">
        <f t="shared" ca="1" si="5"/>
        <v>14</v>
      </c>
      <c r="K27" s="3">
        <f t="shared" ca="1" si="6"/>
        <v>8196</v>
      </c>
    </row>
    <row r="28" spans="1:11">
      <c r="A28" t="s">
        <v>54</v>
      </c>
      <c r="B28" s="2" t="s">
        <v>21</v>
      </c>
      <c r="C28" s="2" t="s">
        <v>28</v>
      </c>
      <c r="D28" s="2" t="str" cm="1">
        <f t="array" aca="1" ref="D28" ca="1">INDEX({"Laptop","Smartphone","Headphones","Smartwatch","Tablet","Monitor"}, RANDBETWEEN(1,6))</f>
        <v>Monitor</v>
      </c>
      <c r="E28" s="4">
        <f t="shared" ca="1" si="0"/>
        <v>45668</v>
      </c>
      <c r="F28" s="4">
        <f t="shared" ca="1" si="1"/>
        <v>45680</v>
      </c>
      <c r="G28" s="2">
        <f t="shared" ca="1" si="2"/>
        <v>97518</v>
      </c>
      <c r="H28" s="3">
        <f t="shared" ca="1" si="3"/>
        <v>100464</v>
      </c>
      <c r="I28" s="2" t="str">
        <f t="shared" ca="1" si="4"/>
        <v>Delayed</v>
      </c>
      <c r="J28" s="2">
        <f t="shared" ca="1" si="5"/>
        <v>12</v>
      </c>
      <c r="K28" s="3">
        <f t="shared" ca="1" si="6"/>
        <v>2946</v>
      </c>
    </row>
    <row r="29" spans="1:11">
      <c r="A29" t="s">
        <v>55</v>
      </c>
      <c r="B29" s="2" t="s">
        <v>24</v>
      </c>
      <c r="C29" s="2" t="s">
        <v>31</v>
      </c>
      <c r="D29" s="2" t="str" cm="1">
        <f t="array" aca="1" ref="D29" ca="1">INDEX({"Laptop","Smartphone","Headphones","Smartwatch","Tablet","Monitor"}, RANDBETWEEN(1,6))</f>
        <v>Tablet</v>
      </c>
      <c r="E29" s="4">
        <f t="shared" ca="1" si="0"/>
        <v>45829</v>
      </c>
      <c r="F29" s="4">
        <f t="shared" ca="1" si="1"/>
        <v>45831</v>
      </c>
      <c r="G29" s="2">
        <f t="shared" ca="1" si="2"/>
        <v>83237</v>
      </c>
      <c r="H29" s="3">
        <f t="shared" ca="1" si="3"/>
        <v>88673</v>
      </c>
      <c r="I29" s="2" t="str">
        <f t="shared" ca="1" si="4"/>
        <v>Delayed</v>
      </c>
      <c r="J29" s="2">
        <f t="shared" ca="1" si="5"/>
        <v>2</v>
      </c>
      <c r="K29" s="3">
        <f t="shared" ca="1" si="6"/>
        <v>5436</v>
      </c>
    </row>
    <row r="30" spans="1:11">
      <c r="A30" t="s">
        <v>56</v>
      </c>
      <c r="B30" s="2" t="s">
        <v>27</v>
      </c>
      <c r="C30" s="2" t="s">
        <v>13</v>
      </c>
      <c r="D30" s="2" t="str" cm="1">
        <f t="array" aca="1" ref="D30" ca="1">INDEX({"Laptop","Smartphone","Headphones","Smartwatch","Tablet","Monitor"}, RANDBETWEEN(1,6))</f>
        <v>Laptop</v>
      </c>
      <c r="E30" s="4">
        <f t="shared" ca="1" si="0"/>
        <v>45673</v>
      </c>
      <c r="F30" s="4">
        <f t="shared" ca="1" si="1"/>
        <v>45686</v>
      </c>
      <c r="G30" s="2">
        <f t="shared" ca="1" si="2"/>
        <v>115375</v>
      </c>
      <c r="H30" s="3">
        <f t="shared" ca="1" si="3"/>
        <v>127476</v>
      </c>
      <c r="I30" s="2" t="str">
        <f t="shared" ca="1" si="4"/>
        <v>Delayed</v>
      </c>
      <c r="J30" s="2">
        <f t="shared" ca="1" si="5"/>
        <v>13</v>
      </c>
      <c r="K30" s="3">
        <f t="shared" ca="1" si="6"/>
        <v>12101</v>
      </c>
    </row>
    <row r="31" spans="1:11">
      <c r="A31" t="s">
        <v>57</v>
      </c>
      <c r="B31" s="2" t="s">
        <v>30</v>
      </c>
      <c r="C31" s="2" t="s">
        <v>16</v>
      </c>
      <c r="D31" s="2" t="str" cm="1">
        <f t="array" aca="1" ref="D31" ca="1">INDEX({"Laptop","Smartphone","Headphones","Smartwatch","Tablet","Monitor"}, RANDBETWEEN(1,6))</f>
        <v>Monitor</v>
      </c>
      <c r="E31" s="4">
        <f t="shared" ca="1" si="0"/>
        <v>45728</v>
      </c>
      <c r="F31" s="4">
        <f t="shared" ca="1" si="1"/>
        <v>45731</v>
      </c>
      <c r="G31" s="2">
        <f t="shared" ca="1" si="2"/>
        <v>44044</v>
      </c>
      <c r="H31" s="3">
        <f t="shared" ca="1" si="3"/>
        <v>55146</v>
      </c>
      <c r="I31" s="2" t="str">
        <f t="shared" ca="1" si="4"/>
        <v>Delayed</v>
      </c>
      <c r="J31" s="2">
        <f t="shared" ca="1" si="5"/>
        <v>3</v>
      </c>
      <c r="K31" s="3">
        <f t="shared" ca="1" si="6"/>
        <v>11102</v>
      </c>
    </row>
    <row r="32" spans="1:11">
      <c r="A32" t="s">
        <v>58</v>
      </c>
      <c r="B32" s="2" t="s">
        <v>33</v>
      </c>
      <c r="C32" s="2" t="s">
        <v>19</v>
      </c>
      <c r="D32" s="2" t="str" cm="1">
        <f t="array" aca="1" ref="D32" ca="1">INDEX({"Laptop","Smartphone","Headphones","Smartwatch","Tablet","Monitor"}, RANDBETWEEN(1,6))</f>
        <v>Smartphone</v>
      </c>
      <c r="E32" s="4">
        <f t="shared" ca="1" si="0"/>
        <v>45665</v>
      </c>
      <c r="F32" s="4">
        <f t="shared" ca="1" si="1"/>
        <v>45672</v>
      </c>
      <c r="G32" s="2">
        <f t="shared" ca="1" si="2"/>
        <v>48650</v>
      </c>
      <c r="H32" s="3">
        <f t="shared" ca="1" si="3"/>
        <v>58739</v>
      </c>
      <c r="I32" s="2" t="str">
        <f t="shared" ca="1" si="4"/>
        <v>Delayed</v>
      </c>
      <c r="J32" s="2">
        <f t="shared" ca="1" si="5"/>
        <v>7</v>
      </c>
      <c r="K32" s="3">
        <f t="shared" ca="1" si="6"/>
        <v>10089</v>
      </c>
    </row>
    <row r="33" spans="1:11">
      <c r="A33" t="s">
        <v>59</v>
      </c>
      <c r="B33" s="2" t="s">
        <v>35</v>
      </c>
      <c r="C33" s="2" t="s">
        <v>13</v>
      </c>
      <c r="D33" s="2" t="str" cm="1">
        <f t="array" aca="1" ref="D33" ca="1">INDEX({"Laptop","Smartphone","Headphones","Smartwatch","Tablet","Monitor"}, RANDBETWEEN(1,6))</f>
        <v>Monitor</v>
      </c>
      <c r="E33" s="4">
        <f t="shared" ca="1" si="0"/>
        <v>45718</v>
      </c>
      <c r="F33" s="4">
        <f t="shared" ca="1" si="1"/>
        <v>45732</v>
      </c>
      <c r="G33" s="2">
        <f t="shared" ca="1" si="2"/>
        <v>69098</v>
      </c>
      <c r="H33" s="3">
        <f t="shared" ca="1" si="3"/>
        <v>82894</v>
      </c>
      <c r="I33" s="2" t="str">
        <f t="shared" ca="1" si="4"/>
        <v>Delayed</v>
      </c>
      <c r="J33" s="2">
        <f t="shared" ca="1" si="5"/>
        <v>14</v>
      </c>
      <c r="K33" s="3">
        <f t="shared" ca="1" si="6"/>
        <v>13796</v>
      </c>
    </row>
    <row r="34" spans="1:11">
      <c r="A34" t="s">
        <v>60</v>
      </c>
      <c r="B34" s="2" t="s">
        <v>37</v>
      </c>
      <c r="C34" s="2" t="s">
        <v>16</v>
      </c>
      <c r="D34" s="2" t="str" cm="1">
        <f t="array" aca="1" ref="D34" ca="1">INDEX({"Laptop","Smartphone","Headphones","Smartwatch","Tablet","Monitor"}, RANDBETWEEN(1,6))</f>
        <v>Smartwatch</v>
      </c>
      <c r="E34" s="4">
        <f t="shared" ca="1" si="0"/>
        <v>45763</v>
      </c>
      <c r="F34" s="4">
        <f t="shared" ca="1" si="1"/>
        <v>45766</v>
      </c>
      <c r="G34" s="2">
        <f t="shared" ca="1" si="2"/>
        <v>64969</v>
      </c>
      <c r="H34" s="3">
        <f t="shared" ca="1" si="3"/>
        <v>66151</v>
      </c>
      <c r="I34" s="2" t="str">
        <f t="shared" ca="1" si="4"/>
        <v>Delayed</v>
      </c>
      <c r="J34" s="2">
        <f t="shared" ca="1" si="5"/>
        <v>3</v>
      </c>
      <c r="K34" s="3">
        <f t="shared" ca="1" si="6"/>
        <v>1182</v>
      </c>
    </row>
    <row r="35" spans="1:11">
      <c r="A35" t="s">
        <v>61</v>
      </c>
      <c r="B35" s="2" t="s">
        <v>12</v>
      </c>
      <c r="C35" s="2" t="s">
        <v>19</v>
      </c>
      <c r="D35" s="2" t="str" cm="1">
        <f t="array" aca="1" ref="D35" ca="1">INDEX({"Laptop","Smartphone","Headphones","Smartwatch","Tablet","Monitor"}, RANDBETWEEN(1,6))</f>
        <v>Smartwatch</v>
      </c>
      <c r="E35" s="4">
        <f t="shared" ca="1" si="0"/>
        <v>45699</v>
      </c>
      <c r="F35" s="4">
        <f t="shared" ca="1" si="1"/>
        <v>45701</v>
      </c>
      <c r="G35" s="2">
        <f t="shared" ca="1" si="2"/>
        <v>112495</v>
      </c>
      <c r="H35" s="3">
        <f t="shared" ca="1" si="3"/>
        <v>127102</v>
      </c>
      <c r="I35" s="2" t="str">
        <f t="shared" ca="1" si="4"/>
        <v>Delayed</v>
      </c>
      <c r="J35" s="2">
        <f t="shared" ca="1" si="5"/>
        <v>2</v>
      </c>
      <c r="K35" s="3">
        <f t="shared" ca="1" si="6"/>
        <v>14607</v>
      </c>
    </row>
    <row r="36" spans="1:11">
      <c r="A36" t="s">
        <v>62</v>
      </c>
      <c r="B36" s="2" t="s">
        <v>15</v>
      </c>
      <c r="C36" s="2" t="s">
        <v>22</v>
      </c>
      <c r="D36" s="2" t="str" cm="1">
        <f t="array" aca="1" ref="D36" ca="1">INDEX({"Laptop","Smartphone","Headphones","Smartwatch","Tablet","Monitor"}, RANDBETWEEN(1,6))</f>
        <v>Smartphone</v>
      </c>
      <c r="E36" s="4">
        <f t="shared" ca="1" si="0"/>
        <v>45748</v>
      </c>
      <c r="F36" s="4">
        <f t="shared" ca="1" si="1"/>
        <v>45758</v>
      </c>
      <c r="G36" s="2">
        <f t="shared" ca="1" si="2"/>
        <v>85798</v>
      </c>
      <c r="H36" s="3">
        <f t="shared" ca="1" si="3"/>
        <v>90892</v>
      </c>
      <c r="I36" s="2" t="str">
        <f t="shared" ca="1" si="4"/>
        <v>Delayed</v>
      </c>
      <c r="J36" s="2">
        <f t="shared" ca="1" si="5"/>
        <v>10</v>
      </c>
      <c r="K36" s="3">
        <f t="shared" ca="1" si="6"/>
        <v>5094</v>
      </c>
    </row>
    <row r="37" spans="1:11">
      <c r="A37" t="s">
        <v>63</v>
      </c>
      <c r="B37" s="2" t="s">
        <v>18</v>
      </c>
      <c r="C37" s="2" t="s">
        <v>25</v>
      </c>
      <c r="D37" s="2" t="str" cm="1">
        <f t="array" aca="1" ref="D37" ca="1">INDEX({"Laptop","Smartphone","Headphones","Smartwatch","Tablet","Monitor"}, RANDBETWEEN(1,6))</f>
        <v>Monitor</v>
      </c>
      <c r="E37" s="4">
        <f t="shared" ca="1" si="0"/>
        <v>45749</v>
      </c>
      <c r="F37" s="4">
        <f t="shared" ca="1" si="1"/>
        <v>45755</v>
      </c>
      <c r="G37" s="2">
        <f t="shared" ca="1" si="2"/>
        <v>81399</v>
      </c>
      <c r="H37" s="3">
        <f t="shared" ca="1" si="3"/>
        <v>79797</v>
      </c>
      <c r="I37" s="2" t="str">
        <f t="shared" ca="1" si="4"/>
        <v>Delayed</v>
      </c>
      <c r="J37" s="2">
        <f t="shared" ca="1" si="5"/>
        <v>6</v>
      </c>
      <c r="K37" s="3">
        <f t="shared" ca="1" si="6"/>
        <v>-1602</v>
      </c>
    </row>
    <row r="38" spans="1:11">
      <c r="A38" t="s">
        <v>64</v>
      </c>
      <c r="B38" s="2" t="s">
        <v>21</v>
      </c>
      <c r="C38" s="2" t="s">
        <v>28</v>
      </c>
      <c r="D38" s="2" t="str" cm="1">
        <f t="array" aca="1" ref="D38" ca="1">INDEX({"Laptop","Smartphone","Headphones","Smartwatch","Tablet","Monitor"}, RANDBETWEEN(1,6))</f>
        <v>Monitor</v>
      </c>
      <c r="E38" s="4">
        <f t="shared" ca="1" si="0"/>
        <v>45713</v>
      </c>
      <c r="F38" s="4">
        <f t="shared" ca="1" si="1"/>
        <v>45724</v>
      </c>
      <c r="G38" s="2">
        <f t="shared" ca="1" si="2"/>
        <v>96381</v>
      </c>
      <c r="H38" s="3">
        <f t="shared" ca="1" si="3"/>
        <v>109779</v>
      </c>
      <c r="I38" s="2" t="str">
        <f t="shared" ca="1" si="4"/>
        <v>Delayed</v>
      </c>
      <c r="J38" s="2">
        <f t="shared" ca="1" si="5"/>
        <v>11</v>
      </c>
      <c r="K38" s="3">
        <f t="shared" ca="1" si="6"/>
        <v>13398</v>
      </c>
    </row>
    <row r="39" spans="1:11">
      <c r="A39" t="s">
        <v>65</v>
      </c>
      <c r="B39" s="2" t="s">
        <v>24</v>
      </c>
      <c r="C39" s="2" t="s">
        <v>31</v>
      </c>
      <c r="D39" s="2" t="str" cm="1">
        <f t="array" aca="1" ref="D39" ca="1">INDEX({"Laptop","Smartphone","Headphones","Smartwatch","Tablet","Monitor"}, RANDBETWEEN(1,6))</f>
        <v>Headphones</v>
      </c>
      <c r="E39" s="4">
        <f t="shared" ca="1" si="0"/>
        <v>45734</v>
      </c>
      <c r="F39" s="4">
        <f t="shared" ca="1" si="1"/>
        <v>45741</v>
      </c>
      <c r="G39" s="2">
        <f t="shared" ca="1" si="2"/>
        <v>63367</v>
      </c>
      <c r="H39" s="3">
        <f t="shared" ca="1" si="3"/>
        <v>69098</v>
      </c>
      <c r="I39" s="2" t="str">
        <f t="shared" ca="1" si="4"/>
        <v>Delayed</v>
      </c>
      <c r="J39" s="2">
        <f t="shared" ca="1" si="5"/>
        <v>7</v>
      </c>
      <c r="K39" s="3">
        <f t="shared" ca="1" si="6"/>
        <v>5731</v>
      </c>
    </row>
    <row r="40" spans="1:11">
      <c r="A40" t="s">
        <v>66</v>
      </c>
      <c r="B40" s="2" t="s">
        <v>27</v>
      </c>
      <c r="C40" s="2" t="s">
        <v>13</v>
      </c>
      <c r="D40" s="2" t="str" cm="1">
        <f t="array" aca="1" ref="D40" ca="1">INDEX({"Laptop","Smartphone","Headphones","Smartwatch","Tablet","Monitor"}, RANDBETWEEN(1,6))</f>
        <v>Laptop</v>
      </c>
      <c r="E40" s="4">
        <f t="shared" ca="1" si="0"/>
        <v>45672</v>
      </c>
      <c r="F40" s="4">
        <f t="shared" ca="1" si="1"/>
        <v>45678</v>
      </c>
      <c r="G40" s="2">
        <f t="shared" ca="1" si="2"/>
        <v>58797</v>
      </c>
      <c r="H40" s="3">
        <f t="shared" ca="1" si="3"/>
        <v>67137</v>
      </c>
      <c r="I40" s="2" t="str">
        <f t="shared" ca="1" si="4"/>
        <v>Delayed</v>
      </c>
      <c r="J40" s="2">
        <f t="shared" ca="1" si="5"/>
        <v>6</v>
      </c>
      <c r="K40" s="3">
        <f t="shared" ca="1" si="6"/>
        <v>8340</v>
      </c>
    </row>
    <row r="41" spans="1:11">
      <c r="A41" t="s">
        <v>67</v>
      </c>
      <c r="B41" s="2" t="s">
        <v>30</v>
      </c>
      <c r="C41" s="2" t="s">
        <v>16</v>
      </c>
      <c r="D41" s="2" t="str" cm="1">
        <f t="array" aca="1" ref="D41" ca="1">INDEX({"Laptop","Smartphone","Headphones","Smartwatch","Tablet","Monitor"}, RANDBETWEEN(1,6))</f>
        <v>Laptop</v>
      </c>
      <c r="E41" s="4">
        <f t="shared" ca="1" si="0"/>
        <v>45740</v>
      </c>
      <c r="F41" s="4">
        <f t="shared" ca="1" si="1"/>
        <v>45751</v>
      </c>
      <c r="G41" s="2">
        <f t="shared" ca="1" si="2"/>
        <v>114811</v>
      </c>
      <c r="H41" s="3">
        <f t="shared" ca="1" si="3"/>
        <v>121487</v>
      </c>
      <c r="I41" s="2" t="str">
        <f t="shared" ca="1" si="4"/>
        <v>Delayed</v>
      </c>
      <c r="J41" s="2">
        <f t="shared" ca="1" si="5"/>
        <v>11</v>
      </c>
      <c r="K41" s="3">
        <f t="shared" ca="1" si="6"/>
        <v>6676</v>
      </c>
    </row>
    <row r="42" spans="1:11">
      <c r="A42" t="s">
        <v>68</v>
      </c>
      <c r="B42" s="2" t="s">
        <v>33</v>
      </c>
      <c r="C42" s="2" t="s">
        <v>19</v>
      </c>
      <c r="D42" s="2" t="str" cm="1">
        <f t="array" aca="1" ref="D42" ca="1">INDEX({"Laptop","Smartphone","Headphones","Smartwatch","Tablet","Monitor"}, RANDBETWEEN(1,6))</f>
        <v>Laptop</v>
      </c>
      <c r="E42" s="4">
        <f t="shared" ca="1" si="0"/>
        <v>45700</v>
      </c>
      <c r="F42" s="4">
        <f t="shared" ca="1" si="1"/>
        <v>45708</v>
      </c>
      <c r="G42" s="2">
        <f t="shared" ca="1" si="2"/>
        <v>63013</v>
      </c>
      <c r="H42" s="3">
        <f t="shared" ca="1" si="3"/>
        <v>63322</v>
      </c>
      <c r="I42" s="2" t="str">
        <f t="shared" ca="1" si="4"/>
        <v>Delayed</v>
      </c>
      <c r="J42" s="2">
        <f t="shared" ca="1" si="5"/>
        <v>8</v>
      </c>
      <c r="K42" s="3">
        <f t="shared" ca="1" si="6"/>
        <v>309</v>
      </c>
    </row>
    <row r="43" spans="1:11">
      <c r="A43" t="s">
        <v>69</v>
      </c>
      <c r="B43" s="2" t="s">
        <v>35</v>
      </c>
      <c r="C43" s="2" t="s">
        <v>22</v>
      </c>
      <c r="D43" s="2" t="str" cm="1">
        <f t="array" aca="1" ref="D43" ca="1">INDEX({"Laptop","Smartphone","Headphones","Smartwatch","Tablet","Monitor"}, RANDBETWEEN(1,6))</f>
        <v>Headphones</v>
      </c>
      <c r="E43" s="4">
        <f t="shared" ca="1" si="0"/>
        <v>45682</v>
      </c>
      <c r="F43" s="4">
        <f t="shared" ca="1" si="1"/>
        <v>45688</v>
      </c>
      <c r="G43" s="2">
        <f t="shared" ca="1" si="2"/>
        <v>62085</v>
      </c>
      <c r="H43" s="3">
        <f t="shared" ca="1" si="3"/>
        <v>64364</v>
      </c>
      <c r="I43" s="2" t="str">
        <f t="shared" ca="1" si="4"/>
        <v>Delayed</v>
      </c>
      <c r="J43" s="2">
        <f t="shared" ca="1" si="5"/>
        <v>6</v>
      </c>
      <c r="K43" s="3">
        <f t="shared" ca="1" si="6"/>
        <v>2279</v>
      </c>
    </row>
    <row r="44" spans="1:11">
      <c r="A44" t="s">
        <v>70</v>
      </c>
      <c r="B44" s="2" t="s">
        <v>37</v>
      </c>
      <c r="C44" s="2" t="s">
        <v>25</v>
      </c>
      <c r="D44" s="2" t="str" cm="1">
        <f t="array" aca="1" ref="D44" ca="1">INDEX({"Laptop","Smartphone","Headphones","Smartwatch","Tablet","Monitor"}, RANDBETWEEN(1,6))</f>
        <v>Tablet</v>
      </c>
      <c r="E44" s="4">
        <f t="shared" ca="1" si="0"/>
        <v>45772</v>
      </c>
      <c r="F44" s="4">
        <f t="shared" ca="1" si="1"/>
        <v>45777</v>
      </c>
      <c r="G44" s="2">
        <f t="shared" ca="1" si="2"/>
        <v>81283</v>
      </c>
      <c r="H44" s="3">
        <f t="shared" ca="1" si="3"/>
        <v>90030</v>
      </c>
      <c r="I44" s="2" t="str">
        <f t="shared" ca="1" si="4"/>
        <v>Delayed</v>
      </c>
      <c r="J44" s="2">
        <f t="shared" ca="1" si="5"/>
        <v>5</v>
      </c>
      <c r="K44" s="3">
        <f t="shared" ca="1" si="6"/>
        <v>8747</v>
      </c>
    </row>
    <row r="45" spans="1:11">
      <c r="A45" t="s">
        <v>71</v>
      </c>
      <c r="B45" s="2" t="s">
        <v>12</v>
      </c>
      <c r="C45" s="2" t="s">
        <v>28</v>
      </c>
      <c r="D45" s="2" t="str" cm="1">
        <f t="array" aca="1" ref="D45" ca="1">INDEX({"Laptop","Smartphone","Headphones","Smartwatch","Tablet","Monitor"}, RANDBETWEEN(1,6))</f>
        <v>Monitor</v>
      </c>
      <c r="E45" s="4">
        <f t="shared" ca="1" si="0"/>
        <v>45717</v>
      </c>
      <c r="F45" s="4">
        <f t="shared" ca="1" si="1"/>
        <v>45728</v>
      </c>
      <c r="G45" s="2">
        <f t="shared" ca="1" si="2"/>
        <v>111307</v>
      </c>
      <c r="H45" s="3">
        <f t="shared" ca="1" si="3"/>
        <v>108502</v>
      </c>
      <c r="I45" s="2" t="str">
        <f t="shared" ca="1" si="4"/>
        <v>Delayed</v>
      </c>
      <c r="J45" s="2">
        <f t="shared" ca="1" si="5"/>
        <v>11</v>
      </c>
      <c r="K45" s="3">
        <f t="shared" ca="1" si="6"/>
        <v>-2805</v>
      </c>
    </row>
    <row r="46" spans="1:11">
      <c r="A46" t="s">
        <v>72</v>
      </c>
      <c r="B46" s="2" t="s">
        <v>15</v>
      </c>
      <c r="C46" s="2" t="s">
        <v>31</v>
      </c>
      <c r="D46" s="2" t="str" cm="1">
        <f t="array" aca="1" ref="D46" ca="1">INDEX({"Laptop","Smartphone","Headphones","Smartwatch","Tablet","Monitor"}, RANDBETWEEN(1,6))</f>
        <v>Monitor</v>
      </c>
      <c r="E46" s="4">
        <f t="shared" ca="1" si="0"/>
        <v>45690</v>
      </c>
      <c r="F46" s="4">
        <f t="shared" ca="1" si="1"/>
        <v>45698</v>
      </c>
      <c r="G46" s="2">
        <f t="shared" ca="1" si="2"/>
        <v>57402</v>
      </c>
      <c r="H46" s="3">
        <f t="shared" ca="1" si="3"/>
        <v>67012</v>
      </c>
      <c r="I46" s="2" t="str">
        <f t="shared" ca="1" si="4"/>
        <v>Delayed</v>
      </c>
      <c r="J46" s="2">
        <f t="shared" ca="1" si="5"/>
        <v>8</v>
      </c>
      <c r="K46" s="3">
        <f t="shared" ca="1" si="6"/>
        <v>9610</v>
      </c>
    </row>
    <row r="47" spans="1:11">
      <c r="A47" t="s">
        <v>73</v>
      </c>
      <c r="B47" s="2" t="s">
        <v>18</v>
      </c>
      <c r="C47" s="2" t="s">
        <v>13</v>
      </c>
      <c r="D47" s="2" t="str" cm="1">
        <f t="array" aca="1" ref="D47" ca="1">INDEX({"Laptop","Smartphone","Headphones","Smartwatch","Tablet","Monitor"}, RANDBETWEEN(1,6))</f>
        <v>Smartphone</v>
      </c>
      <c r="E47" s="4">
        <f t="shared" ca="1" si="0"/>
        <v>45762</v>
      </c>
      <c r="F47" s="4">
        <f t="shared" ca="1" si="1"/>
        <v>45774</v>
      </c>
      <c r="G47" s="2">
        <f t="shared" ca="1" si="2"/>
        <v>72916</v>
      </c>
      <c r="H47" s="3">
        <f t="shared" ca="1" si="3"/>
        <v>81499</v>
      </c>
      <c r="I47" s="2" t="str">
        <f t="shared" ca="1" si="4"/>
        <v>Delayed</v>
      </c>
      <c r="J47" s="2">
        <f t="shared" ca="1" si="5"/>
        <v>12</v>
      </c>
      <c r="K47" s="3">
        <f t="shared" ca="1" si="6"/>
        <v>8583</v>
      </c>
    </row>
    <row r="48" spans="1:11">
      <c r="A48" t="s">
        <v>74</v>
      </c>
      <c r="B48" s="2" t="s">
        <v>12</v>
      </c>
      <c r="C48" s="2" t="s">
        <v>16</v>
      </c>
      <c r="D48" s="2" t="str" cm="1">
        <f t="array" aca="1" ref="D48" ca="1">INDEX({"Laptop","Smartphone","Headphones","Smartwatch","Tablet","Monitor"}, RANDBETWEEN(1,6))</f>
        <v>Tablet</v>
      </c>
      <c r="E48" s="4">
        <f t="shared" ca="1" si="0"/>
        <v>45813</v>
      </c>
      <c r="F48" s="4">
        <f t="shared" ca="1" si="1"/>
        <v>45815</v>
      </c>
      <c r="G48" s="2">
        <f t="shared" ca="1" si="2"/>
        <v>68442</v>
      </c>
      <c r="H48" s="3">
        <f t="shared" ca="1" si="3"/>
        <v>66990</v>
      </c>
      <c r="I48" s="2" t="str">
        <f t="shared" ca="1" si="4"/>
        <v>Delayed</v>
      </c>
      <c r="J48" s="2">
        <f t="shared" ca="1" si="5"/>
        <v>2</v>
      </c>
      <c r="K48" s="3">
        <f t="shared" ca="1" si="6"/>
        <v>-1452</v>
      </c>
    </row>
    <row r="49" spans="1:11">
      <c r="A49" t="s">
        <v>75</v>
      </c>
      <c r="B49" s="2" t="s">
        <v>15</v>
      </c>
      <c r="C49" s="2" t="s">
        <v>19</v>
      </c>
      <c r="D49" s="2" t="str" cm="1">
        <f t="array" aca="1" ref="D49" ca="1">INDEX({"Laptop","Smartphone","Headphones","Smartwatch","Tablet","Monitor"}, RANDBETWEEN(1,6))</f>
        <v>Monitor</v>
      </c>
      <c r="E49" s="4">
        <f t="shared" ca="1" si="0"/>
        <v>45792</v>
      </c>
      <c r="F49" s="4">
        <f t="shared" ca="1" si="1"/>
        <v>45803</v>
      </c>
      <c r="G49" s="2">
        <f t="shared" ca="1" si="2"/>
        <v>46022</v>
      </c>
      <c r="H49" s="3">
        <f t="shared" ca="1" si="3"/>
        <v>51582</v>
      </c>
      <c r="I49" s="2" t="str">
        <f t="shared" ca="1" si="4"/>
        <v>Delayed</v>
      </c>
      <c r="J49" s="2">
        <f t="shared" ca="1" si="5"/>
        <v>11</v>
      </c>
      <c r="K49" s="3">
        <f t="shared" ca="1" si="6"/>
        <v>5560</v>
      </c>
    </row>
    <row r="50" spans="1:11">
      <c r="A50" t="s">
        <v>76</v>
      </c>
      <c r="B50" s="2" t="s">
        <v>18</v>
      </c>
      <c r="C50" s="2" t="s">
        <v>22</v>
      </c>
      <c r="D50" s="2" t="str" cm="1">
        <f t="array" aca="1" ref="D50" ca="1">INDEX({"Laptop","Smartphone","Headphones","Smartwatch","Tablet","Monitor"}, RANDBETWEEN(1,6))</f>
        <v>Tablet</v>
      </c>
      <c r="E50" s="4">
        <f t="shared" ca="1" si="0"/>
        <v>45733</v>
      </c>
      <c r="F50" s="4">
        <f t="shared" ca="1" si="1"/>
        <v>45747</v>
      </c>
      <c r="G50" s="2">
        <f t="shared" ca="1" si="2"/>
        <v>89299</v>
      </c>
      <c r="H50" s="3">
        <f t="shared" ca="1" si="3"/>
        <v>94583</v>
      </c>
      <c r="I50" s="2" t="str">
        <f t="shared" ca="1" si="4"/>
        <v>Delayed</v>
      </c>
      <c r="J50" s="2">
        <f t="shared" ca="1" si="5"/>
        <v>14</v>
      </c>
      <c r="K50" s="3">
        <f t="shared" ca="1" si="6"/>
        <v>5284</v>
      </c>
    </row>
    <row r="51" spans="1:11">
      <c r="A51" t="s">
        <v>77</v>
      </c>
      <c r="B51" s="2" t="s">
        <v>21</v>
      </c>
      <c r="C51" s="2" t="s">
        <v>25</v>
      </c>
      <c r="D51" s="2" t="str" cm="1">
        <f t="array" aca="1" ref="D51" ca="1">INDEX({"Laptop","Smartphone","Headphones","Smartwatch","Tablet","Monitor"}, RANDBETWEEN(1,6))</f>
        <v>Smartphone</v>
      </c>
      <c r="E51" s="4">
        <f t="shared" ca="1" si="0"/>
        <v>45814</v>
      </c>
      <c r="F51" s="4">
        <f t="shared" ca="1" si="1"/>
        <v>45818</v>
      </c>
      <c r="G51" s="2">
        <f t="shared" ca="1" si="2"/>
        <v>42156</v>
      </c>
      <c r="H51" s="3">
        <f t="shared" ca="1" si="3"/>
        <v>38479</v>
      </c>
      <c r="I51" s="2" t="str">
        <f t="shared" ca="1" si="4"/>
        <v>Delayed</v>
      </c>
      <c r="J51" s="2">
        <f t="shared" ca="1" si="5"/>
        <v>4</v>
      </c>
      <c r="K51" s="3">
        <f t="shared" ca="1" si="6"/>
        <v>-3677</v>
      </c>
    </row>
    <row r="52" spans="1:11">
      <c r="A52" t="s">
        <v>78</v>
      </c>
      <c r="B52" s="2" t="s">
        <v>24</v>
      </c>
      <c r="C52" s="2" t="s">
        <v>28</v>
      </c>
      <c r="D52" s="2" t="str" cm="1">
        <f t="array" aca="1" ref="D52" ca="1">INDEX({"Laptop","Smartphone","Headphones","Smartwatch","Tablet","Monitor"}, RANDBETWEEN(1,6))</f>
        <v>Smartphone</v>
      </c>
      <c r="E52" s="4">
        <f t="shared" ca="1" si="0"/>
        <v>45834</v>
      </c>
      <c r="F52" s="4">
        <f t="shared" ca="1" si="1"/>
        <v>45837</v>
      </c>
      <c r="G52" s="2">
        <f t="shared" ca="1" si="2"/>
        <v>111201</v>
      </c>
      <c r="H52" s="3">
        <f t="shared" ca="1" si="3"/>
        <v>109829</v>
      </c>
      <c r="I52" s="2" t="str">
        <f t="shared" ca="1" si="4"/>
        <v>Delayed</v>
      </c>
      <c r="J52" s="2">
        <f t="shared" ca="1" si="5"/>
        <v>3</v>
      </c>
      <c r="K52" s="3">
        <f t="shared" ca="1" si="6"/>
        <v>-1372</v>
      </c>
    </row>
    <row r="53" spans="1:11">
      <c r="A53" t="s">
        <v>79</v>
      </c>
      <c r="B53" s="2" t="s">
        <v>27</v>
      </c>
      <c r="C53" s="2" t="s">
        <v>31</v>
      </c>
      <c r="D53" s="2" t="str" cm="1">
        <f t="array" aca="1" ref="D53" ca="1">INDEX({"Laptop","Smartphone","Headphones","Smartwatch","Tablet","Monitor"}, RANDBETWEEN(1,6))</f>
        <v>Smartphone</v>
      </c>
      <c r="E53" s="4">
        <f t="shared" ca="1" si="0"/>
        <v>45692</v>
      </c>
      <c r="F53" s="4">
        <f t="shared" ca="1" si="1"/>
        <v>45704</v>
      </c>
      <c r="G53" s="2">
        <f t="shared" ca="1" si="2"/>
        <v>73722</v>
      </c>
      <c r="H53" s="3">
        <f t="shared" ca="1" si="3"/>
        <v>87483</v>
      </c>
      <c r="I53" s="2" t="str">
        <f t="shared" ca="1" si="4"/>
        <v>Delayed</v>
      </c>
      <c r="J53" s="2">
        <f t="shared" ca="1" si="5"/>
        <v>12</v>
      </c>
      <c r="K53" s="3">
        <f t="shared" ca="1" si="6"/>
        <v>13761</v>
      </c>
    </row>
    <row r="54" spans="1:11">
      <c r="A54" t="s">
        <v>80</v>
      </c>
      <c r="B54" s="2" t="s">
        <v>30</v>
      </c>
      <c r="C54" s="2" t="s">
        <v>13</v>
      </c>
      <c r="D54" s="2" t="str" cm="1">
        <f t="array" aca="1" ref="D54" ca="1">INDEX({"Laptop","Smartphone","Headphones","Smartwatch","Tablet","Monitor"}, RANDBETWEEN(1,6))</f>
        <v>Laptop</v>
      </c>
      <c r="E54" s="4">
        <f t="shared" ca="1" si="0"/>
        <v>45690</v>
      </c>
      <c r="F54" s="4">
        <f t="shared" ca="1" si="1"/>
        <v>45698</v>
      </c>
      <c r="G54" s="2">
        <f t="shared" ca="1" si="2"/>
        <v>41474</v>
      </c>
      <c r="H54" s="3">
        <f t="shared" ca="1" si="3"/>
        <v>50420</v>
      </c>
      <c r="I54" s="2" t="str">
        <f t="shared" ca="1" si="4"/>
        <v>Delayed</v>
      </c>
      <c r="J54" s="2">
        <f t="shared" ca="1" si="5"/>
        <v>8</v>
      </c>
      <c r="K54" s="3">
        <f t="shared" ca="1" si="6"/>
        <v>8946</v>
      </c>
    </row>
    <row r="55" spans="1:11">
      <c r="A55" t="s">
        <v>81</v>
      </c>
      <c r="B55" s="2" t="s">
        <v>33</v>
      </c>
      <c r="C55" s="2" t="s">
        <v>16</v>
      </c>
      <c r="D55" s="2" t="str" cm="1">
        <f t="array" aca="1" ref="D55" ca="1">INDEX({"Laptop","Smartphone","Headphones","Smartwatch","Tablet","Monitor"}, RANDBETWEEN(1,6))</f>
        <v>Headphones</v>
      </c>
      <c r="E55" s="4">
        <f t="shared" ca="1" si="0"/>
        <v>45762</v>
      </c>
      <c r="F55" s="4">
        <f t="shared" ca="1" si="1"/>
        <v>45767</v>
      </c>
      <c r="G55" s="2">
        <f t="shared" ca="1" si="2"/>
        <v>74558</v>
      </c>
      <c r="H55" s="3">
        <f t="shared" ca="1" si="3"/>
        <v>75326</v>
      </c>
      <c r="I55" s="2" t="str">
        <f t="shared" ca="1" si="4"/>
        <v>Delayed</v>
      </c>
      <c r="J55" s="2">
        <f t="shared" ca="1" si="5"/>
        <v>5</v>
      </c>
      <c r="K55" s="3">
        <f t="shared" ca="1" si="6"/>
        <v>768</v>
      </c>
    </row>
    <row r="56" spans="1:11">
      <c r="A56" t="s">
        <v>82</v>
      </c>
      <c r="B56" s="2" t="s">
        <v>35</v>
      </c>
      <c r="C56" s="2" t="s">
        <v>19</v>
      </c>
      <c r="D56" s="2" t="str" cm="1">
        <f t="array" aca="1" ref="D56" ca="1">INDEX({"Laptop","Smartphone","Headphones","Smartwatch","Tablet","Monitor"}, RANDBETWEEN(1,6))</f>
        <v>Smartwatch</v>
      </c>
      <c r="E56" s="4">
        <f t="shared" ca="1" si="0"/>
        <v>45804</v>
      </c>
      <c r="F56" s="4">
        <f t="shared" ca="1" si="1"/>
        <v>45816</v>
      </c>
      <c r="G56" s="2">
        <f t="shared" ca="1" si="2"/>
        <v>93607</v>
      </c>
      <c r="H56" s="3">
        <f t="shared" ca="1" si="3"/>
        <v>108349</v>
      </c>
      <c r="I56" s="2" t="str">
        <f t="shared" ca="1" si="4"/>
        <v>Delayed</v>
      </c>
      <c r="J56" s="2">
        <f t="shared" ca="1" si="5"/>
        <v>12</v>
      </c>
      <c r="K56" s="3">
        <f t="shared" ca="1" si="6"/>
        <v>14742</v>
      </c>
    </row>
    <row r="57" spans="1:11">
      <c r="A57" t="s">
        <v>83</v>
      </c>
      <c r="B57" s="2" t="s">
        <v>37</v>
      </c>
      <c r="C57" s="2" t="s">
        <v>13</v>
      </c>
      <c r="D57" s="2" t="str" cm="1">
        <f t="array" aca="1" ref="D57" ca="1">INDEX({"Laptop","Smartphone","Headphones","Smartwatch","Tablet","Monitor"}, RANDBETWEEN(1,6))</f>
        <v>Monitor</v>
      </c>
      <c r="E57" s="4">
        <f t="shared" ca="1" si="0"/>
        <v>45790</v>
      </c>
      <c r="F57" s="4">
        <f t="shared" ca="1" si="1"/>
        <v>45802</v>
      </c>
      <c r="G57" s="2">
        <f t="shared" ca="1" si="2"/>
        <v>70141</v>
      </c>
      <c r="H57" s="3">
        <f t="shared" ca="1" si="3"/>
        <v>83868</v>
      </c>
      <c r="I57" s="2" t="str">
        <f t="shared" ca="1" si="4"/>
        <v>Delayed</v>
      </c>
      <c r="J57" s="2">
        <f t="shared" ca="1" si="5"/>
        <v>12</v>
      </c>
      <c r="K57" s="3">
        <f t="shared" ca="1" si="6"/>
        <v>13727</v>
      </c>
    </row>
    <row r="58" spans="1:11">
      <c r="A58" t="s">
        <v>84</v>
      </c>
      <c r="B58" s="2" t="s">
        <v>12</v>
      </c>
      <c r="C58" s="2" t="s">
        <v>16</v>
      </c>
      <c r="D58" s="2" t="str" cm="1">
        <f t="array" aca="1" ref="D58" ca="1">INDEX({"Laptop","Smartphone","Headphones","Smartwatch","Tablet","Monitor"}, RANDBETWEEN(1,6))</f>
        <v>Smartphone</v>
      </c>
      <c r="E58" s="4">
        <f t="shared" ca="1" si="0"/>
        <v>45769</v>
      </c>
      <c r="F58" s="4">
        <f t="shared" ca="1" si="1"/>
        <v>45771</v>
      </c>
      <c r="G58" s="2">
        <f t="shared" ca="1" si="2"/>
        <v>71487</v>
      </c>
      <c r="H58" s="3">
        <f t="shared" ca="1" si="3"/>
        <v>69988</v>
      </c>
      <c r="I58" s="2" t="str">
        <f t="shared" ca="1" si="4"/>
        <v>Delayed</v>
      </c>
      <c r="J58" s="2">
        <f t="shared" ca="1" si="5"/>
        <v>2</v>
      </c>
      <c r="K58" s="3">
        <f t="shared" ca="1" si="6"/>
        <v>-1499</v>
      </c>
    </row>
    <row r="59" spans="1:11">
      <c r="A59" t="s">
        <v>85</v>
      </c>
      <c r="B59" s="2" t="s">
        <v>15</v>
      </c>
      <c r="C59" s="2" t="s">
        <v>19</v>
      </c>
      <c r="D59" s="2" t="str" cm="1">
        <f t="array" aca="1" ref="D59" ca="1">INDEX({"Laptop","Smartphone","Headphones","Smartwatch","Tablet","Monitor"}, RANDBETWEEN(1,6))</f>
        <v>Tablet</v>
      </c>
      <c r="E59" s="4">
        <f t="shared" ca="1" si="0"/>
        <v>45831</v>
      </c>
      <c r="F59" s="4">
        <f t="shared" ca="1" si="1"/>
        <v>45835</v>
      </c>
      <c r="G59" s="2">
        <f t="shared" ca="1" si="2"/>
        <v>82853</v>
      </c>
      <c r="H59" s="3">
        <f t="shared" ca="1" si="3"/>
        <v>81963</v>
      </c>
      <c r="I59" s="2" t="str">
        <f t="shared" ca="1" si="4"/>
        <v>Delayed</v>
      </c>
      <c r="J59" s="2">
        <f t="shared" ca="1" si="5"/>
        <v>4</v>
      </c>
      <c r="K59" s="3">
        <f t="shared" ca="1" si="6"/>
        <v>-890</v>
      </c>
    </row>
    <row r="60" spans="1:11">
      <c r="A60" t="s">
        <v>86</v>
      </c>
      <c r="B60" s="2" t="s">
        <v>18</v>
      </c>
      <c r="C60" s="2" t="s">
        <v>22</v>
      </c>
      <c r="D60" s="2" t="str" cm="1">
        <f t="array" aca="1" ref="D60" ca="1">INDEX({"Laptop","Smartphone","Headphones","Smartwatch","Tablet","Monitor"}, RANDBETWEEN(1,6))</f>
        <v>Headphones</v>
      </c>
      <c r="E60" s="4">
        <f t="shared" ca="1" si="0"/>
        <v>45751</v>
      </c>
      <c r="F60" s="4">
        <f t="shared" ca="1" si="1"/>
        <v>45755</v>
      </c>
      <c r="G60" s="2">
        <f t="shared" ca="1" si="2"/>
        <v>50302</v>
      </c>
      <c r="H60" s="3">
        <f t="shared" ca="1" si="3"/>
        <v>46336</v>
      </c>
      <c r="I60" s="2" t="str">
        <f t="shared" ca="1" si="4"/>
        <v>Delayed</v>
      </c>
      <c r="J60" s="2">
        <f t="shared" ca="1" si="5"/>
        <v>4</v>
      </c>
      <c r="K60" s="3">
        <f t="shared" ca="1" si="6"/>
        <v>-3966</v>
      </c>
    </row>
    <row r="61" spans="1:11">
      <c r="A61" t="s">
        <v>87</v>
      </c>
      <c r="B61" s="2" t="s">
        <v>21</v>
      </c>
      <c r="C61" s="2" t="s">
        <v>25</v>
      </c>
      <c r="D61" s="2" t="str" cm="1">
        <f t="array" aca="1" ref="D61" ca="1">INDEX({"Laptop","Smartphone","Headphones","Smartwatch","Tablet","Monitor"}, RANDBETWEEN(1,6))</f>
        <v>Tablet</v>
      </c>
      <c r="E61" s="4">
        <f t="shared" ca="1" si="0"/>
        <v>45816</v>
      </c>
      <c r="F61" s="4">
        <f t="shared" ca="1" si="1"/>
        <v>45829</v>
      </c>
      <c r="G61" s="2">
        <f t="shared" ca="1" si="2"/>
        <v>106364</v>
      </c>
      <c r="H61" s="3">
        <f t="shared" ca="1" si="3"/>
        <v>109897</v>
      </c>
      <c r="I61" s="2" t="str">
        <f t="shared" ca="1" si="4"/>
        <v>Delayed</v>
      </c>
      <c r="J61" s="2">
        <f t="shared" ca="1" si="5"/>
        <v>13</v>
      </c>
      <c r="K61" s="3">
        <f t="shared" ca="1" si="6"/>
        <v>3533</v>
      </c>
    </row>
    <row r="62" spans="1:11">
      <c r="A62" t="s">
        <v>88</v>
      </c>
      <c r="B62" s="2" t="s">
        <v>24</v>
      </c>
      <c r="C62" s="2" t="s">
        <v>28</v>
      </c>
      <c r="D62" s="2" t="str" cm="1">
        <f t="array" aca="1" ref="D62" ca="1">INDEX({"Laptop","Smartphone","Headphones","Smartwatch","Tablet","Monitor"}, RANDBETWEEN(1,6))</f>
        <v>Monitor</v>
      </c>
      <c r="E62" s="4">
        <f t="shared" ca="1" si="0"/>
        <v>45732</v>
      </c>
      <c r="F62" s="4">
        <f t="shared" ca="1" si="1"/>
        <v>45746</v>
      </c>
      <c r="G62" s="2">
        <f t="shared" ca="1" si="2"/>
        <v>71754</v>
      </c>
      <c r="H62" s="3">
        <f t="shared" ca="1" si="3"/>
        <v>85985</v>
      </c>
      <c r="I62" s="2" t="str">
        <f t="shared" ca="1" si="4"/>
        <v>Delayed</v>
      </c>
      <c r="J62" s="2">
        <f t="shared" ca="1" si="5"/>
        <v>14</v>
      </c>
      <c r="K62" s="3">
        <f t="shared" ca="1" si="6"/>
        <v>14231</v>
      </c>
    </row>
    <row r="63" spans="1:11">
      <c r="A63" t="s">
        <v>89</v>
      </c>
      <c r="B63" s="2" t="s">
        <v>27</v>
      </c>
      <c r="C63" s="2" t="s">
        <v>31</v>
      </c>
      <c r="D63" s="2" t="str" cm="1">
        <f t="array" aca="1" ref="D63" ca="1">INDEX({"Laptop","Smartphone","Headphones","Smartwatch","Tablet","Monitor"}, RANDBETWEEN(1,6))</f>
        <v>Monitor</v>
      </c>
      <c r="E63" s="4">
        <f t="shared" ca="1" si="0"/>
        <v>45830</v>
      </c>
      <c r="F63" s="4">
        <f t="shared" ca="1" si="1"/>
        <v>45840</v>
      </c>
      <c r="G63" s="2">
        <f t="shared" ca="1" si="2"/>
        <v>115741</v>
      </c>
      <c r="H63" s="3">
        <f t="shared" ca="1" si="3"/>
        <v>120475</v>
      </c>
      <c r="I63" s="2" t="str">
        <f t="shared" ca="1" si="4"/>
        <v>Delayed</v>
      </c>
      <c r="J63" s="2">
        <f t="shared" ca="1" si="5"/>
        <v>10</v>
      </c>
      <c r="K63" s="3">
        <f t="shared" ca="1" si="6"/>
        <v>4734</v>
      </c>
    </row>
    <row r="64" spans="1:11">
      <c r="A64" t="s">
        <v>90</v>
      </c>
      <c r="B64" s="2" t="s">
        <v>30</v>
      </c>
      <c r="C64" s="2" t="s">
        <v>13</v>
      </c>
      <c r="D64" s="2" t="str" cm="1">
        <f t="array" aca="1" ref="D64" ca="1">INDEX({"Laptop","Smartphone","Headphones","Smartwatch","Tablet","Monitor"}, RANDBETWEEN(1,6))</f>
        <v>Tablet</v>
      </c>
      <c r="E64" s="4">
        <f t="shared" ca="1" si="0"/>
        <v>45719</v>
      </c>
      <c r="F64" s="4">
        <f t="shared" ca="1" si="1"/>
        <v>45726</v>
      </c>
      <c r="G64" s="2">
        <f t="shared" ca="1" si="2"/>
        <v>92881</v>
      </c>
      <c r="H64" s="3">
        <f t="shared" ca="1" si="3"/>
        <v>99825</v>
      </c>
      <c r="I64" s="2" t="str">
        <f t="shared" ca="1" si="4"/>
        <v>Delayed</v>
      </c>
      <c r="J64" s="2">
        <f t="shared" ca="1" si="5"/>
        <v>7</v>
      </c>
      <c r="K64" s="3">
        <f t="shared" ca="1" si="6"/>
        <v>6944</v>
      </c>
    </row>
    <row r="65" spans="1:11">
      <c r="A65" t="s">
        <v>91</v>
      </c>
      <c r="B65" s="2" t="s">
        <v>33</v>
      </c>
      <c r="C65" s="2" t="s">
        <v>16</v>
      </c>
      <c r="D65" s="2" t="str" cm="1">
        <f t="array" aca="1" ref="D65" ca="1">INDEX({"Laptop","Smartphone","Headphones","Smartwatch","Tablet","Monitor"}, RANDBETWEEN(1,6))</f>
        <v>Tablet</v>
      </c>
      <c r="E65" s="4">
        <f t="shared" ca="1" si="0"/>
        <v>45783</v>
      </c>
      <c r="F65" s="4">
        <f t="shared" ca="1" si="1"/>
        <v>45788</v>
      </c>
      <c r="G65" s="2">
        <f t="shared" ca="1" si="2"/>
        <v>65488</v>
      </c>
      <c r="H65" s="3">
        <f t="shared" ca="1" si="3"/>
        <v>70069</v>
      </c>
      <c r="I65" s="2" t="str">
        <f t="shared" ca="1" si="4"/>
        <v>Delayed</v>
      </c>
      <c r="J65" s="2">
        <f t="shared" ca="1" si="5"/>
        <v>5</v>
      </c>
      <c r="K65" s="3">
        <f t="shared" ca="1" si="6"/>
        <v>4581</v>
      </c>
    </row>
    <row r="66" spans="1:11">
      <c r="A66" t="s">
        <v>92</v>
      </c>
      <c r="B66" s="2" t="s">
        <v>35</v>
      </c>
      <c r="C66" s="2" t="s">
        <v>19</v>
      </c>
      <c r="D66" s="2" t="str" cm="1">
        <f t="array" aca="1" ref="D66" ca="1">INDEX({"Laptop","Smartphone","Headphones","Smartwatch","Tablet","Monitor"}, RANDBETWEEN(1,6))</f>
        <v>Headphones</v>
      </c>
      <c r="E66" s="4">
        <f t="shared" ca="1" si="0"/>
        <v>45751</v>
      </c>
      <c r="F66" s="4">
        <f t="shared" ca="1" si="1"/>
        <v>45766</v>
      </c>
      <c r="G66" s="2">
        <f t="shared" ca="1" si="2"/>
        <v>68628</v>
      </c>
      <c r="H66" s="3">
        <f t="shared" ca="1" si="3"/>
        <v>65582</v>
      </c>
      <c r="I66" s="2" t="str">
        <f t="shared" ca="1" si="4"/>
        <v>Delayed</v>
      </c>
      <c r="J66" s="2">
        <f t="shared" ca="1" si="5"/>
        <v>15</v>
      </c>
      <c r="K66" s="3">
        <f t="shared" ca="1" si="6"/>
        <v>-3046</v>
      </c>
    </row>
    <row r="67" spans="1:11">
      <c r="A67" t="s">
        <v>93</v>
      </c>
      <c r="B67" s="2" t="s">
        <v>37</v>
      </c>
      <c r="C67" s="2" t="s">
        <v>22</v>
      </c>
      <c r="D67" s="2" t="str" cm="1">
        <f t="array" aca="1" ref="D67" ca="1">INDEX({"Laptop","Smartphone","Headphones","Smartwatch","Tablet","Monitor"}, RANDBETWEEN(1,6))</f>
        <v>Smartphone</v>
      </c>
      <c r="E67" s="4">
        <f t="shared" ref="E67:E130" ca="1" si="7">DATE(2025,1,1) + RANDBETWEEN(0,180)</f>
        <v>45730</v>
      </c>
      <c r="F67" s="4">
        <f t="shared" ref="F67:F130" ca="1" si="8">E67 + RANDBETWEEN(2,15)</f>
        <v>45737</v>
      </c>
      <c r="G67" s="2">
        <f t="shared" ref="G67:G130" ca="1" si="9">RANDBETWEEN(40000,120000)</f>
        <v>46362</v>
      </c>
      <c r="H67" s="3">
        <f t="shared" ref="H67:H130" ca="1" si="10">G67 + RANDBETWEEN(-5000,15000)</f>
        <v>49290</v>
      </c>
      <c r="I67" s="2" t="str">
        <f t="shared" ref="I67:I130" ca="1" si="11">IF(K67=0,"On Time","Delayed")</f>
        <v>Delayed</v>
      </c>
      <c r="J67" s="2">
        <f t="shared" ref="J67:J130" ca="1" si="12">F67-E67</f>
        <v>7</v>
      </c>
      <c r="K67" s="3">
        <f t="shared" ref="K67:K130" ca="1" si="13">H67-G67</f>
        <v>2928</v>
      </c>
    </row>
    <row r="68" spans="1:11">
      <c r="A68" t="s">
        <v>94</v>
      </c>
      <c r="B68" s="2" t="s">
        <v>12</v>
      </c>
      <c r="C68" s="2" t="s">
        <v>25</v>
      </c>
      <c r="D68" s="2" t="str" cm="1">
        <f t="array" aca="1" ref="D68" ca="1">INDEX({"Laptop","Smartphone","Headphones","Smartwatch","Tablet","Monitor"}, RANDBETWEEN(1,6))</f>
        <v>Monitor</v>
      </c>
      <c r="E68" s="4">
        <f t="shared" ca="1" si="7"/>
        <v>45812</v>
      </c>
      <c r="F68" s="4">
        <f t="shared" ca="1" si="8"/>
        <v>45821</v>
      </c>
      <c r="G68" s="2">
        <f t="shared" ca="1" si="9"/>
        <v>83493</v>
      </c>
      <c r="H68" s="3">
        <f t="shared" ca="1" si="10"/>
        <v>82321</v>
      </c>
      <c r="I68" s="2" t="str">
        <f t="shared" ca="1" si="11"/>
        <v>Delayed</v>
      </c>
      <c r="J68" s="2">
        <f t="shared" ca="1" si="12"/>
        <v>9</v>
      </c>
      <c r="K68" s="3">
        <f t="shared" ca="1" si="13"/>
        <v>-1172</v>
      </c>
    </row>
    <row r="69" spans="1:11">
      <c r="A69" t="s">
        <v>95</v>
      </c>
      <c r="B69" s="2" t="s">
        <v>15</v>
      </c>
      <c r="C69" s="2" t="s">
        <v>28</v>
      </c>
      <c r="D69" s="2" t="str" cm="1">
        <f t="array" aca="1" ref="D69" ca="1">INDEX({"Laptop","Smartphone","Headphones","Smartwatch","Tablet","Monitor"}, RANDBETWEEN(1,6))</f>
        <v>Smartwatch</v>
      </c>
      <c r="E69" s="4">
        <f t="shared" ca="1" si="7"/>
        <v>45662</v>
      </c>
      <c r="F69" s="4">
        <f t="shared" ca="1" si="8"/>
        <v>45668</v>
      </c>
      <c r="G69" s="2">
        <f t="shared" ca="1" si="9"/>
        <v>106497</v>
      </c>
      <c r="H69" s="3">
        <f t="shared" ca="1" si="10"/>
        <v>119960</v>
      </c>
      <c r="I69" s="2" t="str">
        <f t="shared" ca="1" si="11"/>
        <v>Delayed</v>
      </c>
      <c r="J69" s="2">
        <f t="shared" ca="1" si="12"/>
        <v>6</v>
      </c>
      <c r="K69" s="3">
        <f t="shared" ca="1" si="13"/>
        <v>13463</v>
      </c>
    </row>
    <row r="70" spans="1:11">
      <c r="A70" t="s">
        <v>96</v>
      </c>
      <c r="B70" s="2" t="s">
        <v>18</v>
      </c>
      <c r="C70" s="2" t="s">
        <v>31</v>
      </c>
      <c r="D70" s="2" t="str" cm="1">
        <f t="array" aca="1" ref="D70" ca="1">INDEX({"Laptop","Smartphone","Headphones","Smartwatch","Tablet","Monitor"}, RANDBETWEEN(1,6))</f>
        <v>Laptop</v>
      </c>
      <c r="E70" s="4">
        <f t="shared" ca="1" si="7"/>
        <v>45798</v>
      </c>
      <c r="F70" s="4">
        <f t="shared" ca="1" si="8"/>
        <v>45810</v>
      </c>
      <c r="G70" s="2">
        <f t="shared" ca="1" si="9"/>
        <v>60988</v>
      </c>
      <c r="H70" s="3">
        <f t="shared" ca="1" si="10"/>
        <v>75442</v>
      </c>
      <c r="I70" s="2" t="str">
        <f t="shared" ca="1" si="11"/>
        <v>Delayed</v>
      </c>
      <c r="J70" s="2">
        <f t="shared" ca="1" si="12"/>
        <v>12</v>
      </c>
      <c r="K70" s="3">
        <f t="shared" ca="1" si="13"/>
        <v>14454</v>
      </c>
    </row>
    <row r="71" spans="1:11">
      <c r="A71" t="s">
        <v>97</v>
      </c>
      <c r="B71" s="2" t="s">
        <v>21</v>
      </c>
      <c r="C71" s="2" t="s">
        <v>13</v>
      </c>
      <c r="D71" s="2" t="str" cm="1">
        <f t="array" aca="1" ref="D71" ca="1">INDEX({"Laptop","Smartphone","Headphones","Smartwatch","Tablet","Monitor"}, RANDBETWEEN(1,6))</f>
        <v>Monitor</v>
      </c>
      <c r="E71" s="4">
        <f t="shared" ca="1" si="7"/>
        <v>45780</v>
      </c>
      <c r="F71" s="4">
        <f t="shared" ca="1" si="8"/>
        <v>45785</v>
      </c>
      <c r="G71" s="2">
        <f t="shared" ca="1" si="9"/>
        <v>57333</v>
      </c>
      <c r="H71" s="3">
        <f t="shared" ca="1" si="10"/>
        <v>52353</v>
      </c>
      <c r="I71" s="2" t="str">
        <f t="shared" ca="1" si="11"/>
        <v>Delayed</v>
      </c>
      <c r="J71" s="2">
        <f t="shared" ca="1" si="12"/>
        <v>5</v>
      </c>
      <c r="K71" s="3">
        <f t="shared" ca="1" si="13"/>
        <v>-4980</v>
      </c>
    </row>
    <row r="72" spans="1:11">
      <c r="A72" t="s">
        <v>98</v>
      </c>
      <c r="B72" s="2" t="s">
        <v>24</v>
      </c>
      <c r="C72" s="2" t="s">
        <v>16</v>
      </c>
      <c r="D72" s="2" t="str" cm="1">
        <f t="array" aca="1" ref="D72" ca="1">INDEX({"Laptop","Smartphone","Headphones","Smartwatch","Tablet","Monitor"}, RANDBETWEEN(1,6))</f>
        <v>Headphones</v>
      </c>
      <c r="E72" s="4">
        <f t="shared" ca="1" si="7"/>
        <v>45794</v>
      </c>
      <c r="F72" s="4">
        <f t="shared" ca="1" si="8"/>
        <v>45799</v>
      </c>
      <c r="G72" s="2">
        <f t="shared" ca="1" si="9"/>
        <v>118500</v>
      </c>
      <c r="H72" s="3">
        <f t="shared" ca="1" si="10"/>
        <v>121475</v>
      </c>
      <c r="I72" s="2" t="str">
        <f t="shared" ca="1" si="11"/>
        <v>Delayed</v>
      </c>
      <c r="J72" s="2">
        <f t="shared" ca="1" si="12"/>
        <v>5</v>
      </c>
      <c r="K72" s="3">
        <f t="shared" ca="1" si="13"/>
        <v>2975</v>
      </c>
    </row>
    <row r="73" spans="1:11">
      <c r="A73" t="s">
        <v>99</v>
      </c>
      <c r="B73" s="2" t="s">
        <v>27</v>
      </c>
      <c r="C73" s="2" t="s">
        <v>13</v>
      </c>
      <c r="D73" s="2" t="str" cm="1">
        <f t="array" aca="1" ref="D73" ca="1">INDEX({"Laptop","Smartphone","Headphones","Smartwatch","Tablet","Monitor"}, RANDBETWEEN(1,6))</f>
        <v>Monitor</v>
      </c>
      <c r="E73" s="4">
        <f t="shared" ca="1" si="7"/>
        <v>45684</v>
      </c>
      <c r="F73" s="4">
        <f t="shared" ca="1" si="8"/>
        <v>45696</v>
      </c>
      <c r="G73" s="2">
        <f t="shared" ca="1" si="9"/>
        <v>114076</v>
      </c>
      <c r="H73" s="3">
        <f t="shared" ca="1" si="10"/>
        <v>115098</v>
      </c>
      <c r="I73" s="2" t="str">
        <f t="shared" ca="1" si="11"/>
        <v>Delayed</v>
      </c>
      <c r="J73" s="2">
        <f t="shared" ca="1" si="12"/>
        <v>12</v>
      </c>
      <c r="K73" s="3">
        <f t="shared" ca="1" si="13"/>
        <v>1022</v>
      </c>
    </row>
    <row r="74" spans="1:11">
      <c r="A74" t="s">
        <v>100</v>
      </c>
      <c r="B74" s="2" t="s">
        <v>30</v>
      </c>
      <c r="C74" s="2" t="s">
        <v>16</v>
      </c>
      <c r="D74" s="2" t="str" cm="1">
        <f t="array" aca="1" ref="D74" ca="1">INDEX({"Laptop","Smartphone","Headphones","Smartwatch","Tablet","Monitor"}, RANDBETWEEN(1,6))</f>
        <v>Tablet</v>
      </c>
      <c r="E74" s="4">
        <f t="shared" ca="1" si="7"/>
        <v>45726</v>
      </c>
      <c r="F74" s="4">
        <f t="shared" ca="1" si="8"/>
        <v>45735</v>
      </c>
      <c r="G74" s="2">
        <f t="shared" ca="1" si="9"/>
        <v>111533</v>
      </c>
      <c r="H74" s="3">
        <f t="shared" ca="1" si="10"/>
        <v>113576</v>
      </c>
      <c r="I74" s="2" t="str">
        <f t="shared" ca="1" si="11"/>
        <v>Delayed</v>
      </c>
      <c r="J74" s="2">
        <f t="shared" ca="1" si="12"/>
        <v>9</v>
      </c>
      <c r="K74" s="3">
        <f t="shared" ca="1" si="13"/>
        <v>2043</v>
      </c>
    </row>
    <row r="75" spans="1:11">
      <c r="A75" t="s">
        <v>101</v>
      </c>
      <c r="B75" s="2" t="s">
        <v>33</v>
      </c>
      <c r="C75" s="2" t="s">
        <v>19</v>
      </c>
      <c r="D75" s="2" t="str" cm="1">
        <f t="array" aca="1" ref="D75" ca="1">INDEX({"Laptop","Smartphone","Headphones","Smartwatch","Tablet","Monitor"}, RANDBETWEEN(1,6))</f>
        <v>Tablet</v>
      </c>
      <c r="E75" s="4">
        <f t="shared" ca="1" si="7"/>
        <v>45674</v>
      </c>
      <c r="F75" s="4">
        <f t="shared" ca="1" si="8"/>
        <v>45687</v>
      </c>
      <c r="G75" s="2">
        <f t="shared" ca="1" si="9"/>
        <v>90625</v>
      </c>
      <c r="H75" s="3">
        <f t="shared" ca="1" si="10"/>
        <v>99729</v>
      </c>
      <c r="I75" s="2" t="str">
        <f t="shared" ca="1" si="11"/>
        <v>Delayed</v>
      </c>
      <c r="J75" s="2">
        <f t="shared" ca="1" si="12"/>
        <v>13</v>
      </c>
      <c r="K75" s="3">
        <f t="shared" ca="1" si="13"/>
        <v>9104</v>
      </c>
    </row>
    <row r="76" spans="1:11">
      <c r="A76" t="s">
        <v>102</v>
      </c>
      <c r="B76" s="2" t="s">
        <v>35</v>
      </c>
      <c r="C76" s="2" t="s">
        <v>22</v>
      </c>
      <c r="D76" s="2" t="str" cm="1">
        <f t="array" aca="1" ref="D76" ca="1">INDEX({"Laptop","Smartphone","Headphones","Smartwatch","Tablet","Monitor"}, RANDBETWEEN(1,6))</f>
        <v>Tablet</v>
      </c>
      <c r="E76" s="4">
        <f t="shared" ca="1" si="7"/>
        <v>45824</v>
      </c>
      <c r="F76" s="4">
        <f t="shared" ca="1" si="8"/>
        <v>45834</v>
      </c>
      <c r="G76" s="2">
        <f t="shared" ca="1" si="9"/>
        <v>84455</v>
      </c>
      <c r="H76" s="3">
        <f t="shared" ca="1" si="10"/>
        <v>82952</v>
      </c>
      <c r="I76" s="2" t="str">
        <f t="shared" ca="1" si="11"/>
        <v>Delayed</v>
      </c>
      <c r="J76" s="2">
        <f t="shared" ca="1" si="12"/>
        <v>10</v>
      </c>
      <c r="K76" s="3">
        <f t="shared" ca="1" si="13"/>
        <v>-1503</v>
      </c>
    </row>
    <row r="77" spans="1:11">
      <c r="A77" t="s">
        <v>103</v>
      </c>
      <c r="B77" s="2" t="s">
        <v>12</v>
      </c>
      <c r="C77" s="2" t="s">
        <v>25</v>
      </c>
      <c r="D77" s="2" t="str" cm="1">
        <f t="array" aca="1" ref="D77" ca="1">INDEX({"Laptop","Smartphone","Headphones","Smartwatch","Tablet","Monitor"}, RANDBETWEEN(1,6))</f>
        <v>Smartphone</v>
      </c>
      <c r="E77" s="4">
        <f t="shared" ca="1" si="7"/>
        <v>45754</v>
      </c>
      <c r="F77" s="4">
        <f t="shared" ca="1" si="8"/>
        <v>45764</v>
      </c>
      <c r="G77" s="2">
        <f t="shared" ca="1" si="9"/>
        <v>45006</v>
      </c>
      <c r="H77" s="3">
        <f t="shared" ca="1" si="10"/>
        <v>57326</v>
      </c>
      <c r="I77" s="2" t="str">
        <f t="shared" ca="1" si="11"/>
        <v>Delayed</v>
      </c>
      <c r="J77" s="2">
        <f t="shared" ca="1" si="12"/>
        <v>10</v>
      </c>
      <c r="K77" s="3">
        <f t="shared" ca="1" si="13"/>
        <v>12320</v>
      </c>
    </row>
    <row r="78" spans="1:11">
      <c r="A78" t="s">
        <v>104</v>
      </c>
      <c r="B78" s="2" t="s">
        <v>15</v>
      </c>
      <c r="C78" s="2" t="s">
        <v>28</v>
      </c>
      <c r="D78" s="2" t="str" cm="1">
        <f t="array" aca="1" ref="D78" ca="1">INDEX({"Laptop","Smartphone","Headphones","Smartwatch","Tablet","Monitor"}, RANDBETWEEN(1,6))</f>
        <v>Monitor</v>
      </c>
      <c r="E78" s="4">
        <f t="shared" ca="1" si="7"/>
        <v>45794</v>
      </c>
      <c r="F78" s="4">
        <f t="shared" ca="1" si="8"/>
        <v>45808</v>
      </c>
      <c r="G78" s="2">
        <f t="shared" ca="1" si="9"/>
        <v>41918</v>
      </c>
      <c r="H78" s="3">
        <f t="shared" ca="1" si="10"/>
        <v>37306</v>
      </c>
      <c r="I78" s="2" t="str">
        <f t="shared" ca="1" si="11"/>
        <v>Delayed</v>
      </c>
      <c r="J78" s="2">
        <f t="shared" ca="1" si="12"/>
        <v>14</v>
      </c>
      <c r="K78" s="3">
        <f t="shared" ca="1" si="13"/>
        <v>-4612</v>
      </c>
    </row>
    <row r="79" spans="1:11">
      <c r="A79" t="s">
        <v>105</v>
      </c>
      <c r="B79" s="2" t="s">
        <v>18</v>
      </c>
      <c r="C79" s="2" t="s">
        <v>31</v>
      </c>
      <c r="D79" s="2" t="str" cm="1">
        <f t="array" aca="1" ref="D79" ca="1">INDEX({"Laptop","Smartphone","Headphones","Smartwatch","Tablet","Monitor"}, RANDBETWEEN(1,6))</f>
        <v>Headphones</v>
      </c>
      <c r="E79" s="4">
        <f t="shared" ca="1" si="7"/>
        <v>45747</v>
      </c>
      <c r="F79" s="4">
        <f t="shared" ca="1" si="8"/>
        <v>45751</v>
      </c>
      <c r="G79" s="2">
        <f t="shared" ca="1" si="9"/>
        <v>56798</v>
      </c>
      <c r="H79" s="3">
        <f t="shared" ca="1" si="10"/>
        <v>68984</v>
      </c>
      <c r="I79" s="2" t="str">
        <f t="shared" ca="1" si="11"/>
        <v>Delayed</v>
      </c>
      <c r="J79" s="2">
        <f t="shared" ca="1" si="12"/>
        <v>4</v>
      </c>
      <c r="K79" s="3">
        <f t="shared" ca="1" si="13"/>
        <v>12186</v>
      </c>
    </row>
    <row r="80" spans="1:11">
      <c r="A80" t="s">
        <v>106</v>
      </c>
      <c r="B80" s="2" t="s">
        <v>21</v>
      </c>
      <c r="C80" s="2" t="s">
        <v>13</v>
      </c>
      <c r="D80" s="2" t="str" cm="1">
        <f t="array" aca="1" ref="D80" ca="1">INDEX({"Laptop","Smartphone","Headphones","Smartwatch","Tablet","Monitor"}, RANDBETWEEN(1,6))</f>
        <v>Smartwatch</v>
      </c>
      <c r="E80" s="4">
        <f t="shared" ca="1" si="7"/>
        <v>45697</v>
      </c>
      <c r="F80" s="4">
        <f t="shared" ca="1" si="8"/>
        <v>45700</v>
      </c>
      <c r="G80" s="2">
        <f t="shared" ca="1" si="9"/>
        <v>77873</v>
      </c>
      <c r="H80" s="3">
        <f t="shared" ca="1" si="10"/>
        <v>79209</v>
      </c>
      <c r="I80" s="2" t="str">
        <f t="shared" ca="1" si="11"/>
        <v>Delayed</v>
      </c>
      <c r="J80" s="2">
        <f t="shared" ca="1" si="12"/>
        <v>3</v>
      </c>
      <c r="K80" s="3">
        <f t="shared" ca="1" si="13"/>
        <v>1336</v>
      </c>
    </row>
    <row r="81" spans="1:11">
      <c r="A81" t="s">
        <v>107</v>
      </c>
      <c r="B81" s="2" t="s">
        <v>24</v>
      </c>
      <c r="C81" s="2" t="s">
        <v>16</v>
      </c>
      <c r="D81" s="2" t="str" cm="1">
        <f t="array" aca="1" ref="D81" ca="1">INDEX({"Laptop","Smartphone","Headphones","Smartwatch","Tablet","Monitor"}, RANDBETWEEN(1,6))</f>
        <v>Smartwatch</v>
      </c>
      <c r="E81" s="4">
        <f t="shared" ca="1" si="7"/>
        <v>45740</v>
      </c>
      <c r="F81" s="4">
        <f t="shared" ca="1" si="8"/>
        <v>45750</v>
      </c>
      <c r="G81" s="2">
        <f t="shared" ca="1" si="9"/>
        <v>105433</v>
      </c>
      <c r="H81" s="3">
        <f t="shared" ca="1" si="10"/>
        <v>108720</v>
      </c>
      <c r="I81" s="2" t="str">
        <f t="shared" ca="1" si="11"/>
        <v>Delayed</v>
      </c>
      <c r="J81" s="2">
        <f t="shared" ca="1" si="12"/>
        <v>10</v>
      </c>
      <c r="K81" s="3">
        <f t="shared" ca="1" si="13"/>
        <v>3287</v>
      </c>
    </row>
    <row r="82" spans="1:11">
      <c r="A82" t="s">
        <v>108</v>
      </c>
      <c r="B82" s="2" t="s">
        <v>27</v>
      </c>
      <c r="C82" s="2" t="s">
        <v>19</v>
      </c>
      <c r="D82" s="2" t="str" cm="1">
        <f t="array" aca="1" ref="D82" ca="1">INDEX({"Laptop","Smartphone","Headphones","Smartwatch","Tablet","Monitor"}, RANDBETWEEN(1,6))</f>
        <v>Laptop</v>
      </c>
      <c r="E82" s="4">
        <f t="shared" ca="1" si="7"/>
        <v>45831</v>
      </c>
      <c r="F82" s="4">
        <f t="shared" ca="1" si="8"/>
        <v>45836</v>
      </c>
      <c r="G82" s="2">
        <f t="shared" ca="1" si="9"/>
        <v>83255</v>
      </c>
      <c r="H82" s="3">
        <f t="shared" ca="1" si="10"/>
        <v>78474</v>
      </c>
      <c r="I82" s="2" t="str">
        <f t="shared" ca="1" si="11"/>
        <v>Delayed</v>
      </c>
      <c r="J82" s="2">
        <f t="shared" ca="1" si="12"/>
        <v>5</v>
      </c>
      <c r="K82" s="3">
        <f t="shared" ca="1" si="13"/>
        <v>-4781</v>
      </c>
    </row>
    <row r="83" spans="1:11">
      <c r="A83" t="s">
        <v>109</v>
      </c>
      <c r="B83" s="2" t="s">
        <v>30</v>
      </c>
      <c r="C83" s="2" t="s">
        <v>22</v>
      </c>
      <c r="D83" s="2" t="str" cm="1">
        <f t="array" aca="1" ref="D83" ca="1">INDEX({"Laptop","Smartphone","Headphones","Smartwatch","Tablet","Monitor"}, RANDBETWEEN(1,6))</f>
        <v>Smartphone</v>
      </c>
      <c r="E83" s="4">
        <f t="shared" ca="1" si="7"/>
        <v>45828</v>
      </c>
      <c r="F83" s="4">
        <f t="shared" ca="1" si="8"/>
        <v>45837</v>
      </c>
      <c r="G83" s="2">
        <f t="shared" ca="1" si="9"/>
        <v>76489</v>
      </c>
      <c r="H83" s="3">
        <f t="shared" ca="1" si="10"/>
        <v>76239</v>
      </c>
      <c r="I83" s="2" t="str">
        <f t="shared" ca="1" si="11"/>
        <v>Delayed</v>
      </c>
      <c r="J83" s="2">
        <f t="shared" ca="1" si="12"/>
        <v>9</v>
      </c>
      <c r="K83" s="3">
        <f t="shared" ca="1" si="13"/>
        <v>-250</v>
      </c>
    </row>
    <row r="84" spans="1:11">
      <c r="A84" t="s">
        <v>110</v>
      </c>
      <c r="B84" s="2" t="s">
        <v>33</v>
      </c>
      <c r="C84" s="2" t="s">
        <v>25</v>
      </c>
      <c r="D84" s="2" t="str" cm="1">
        <f t="array" aca="1" ref="D84" ca="1">INDEX({"Laptop","Smartphone","Headphones","Smartwatch","Tablet","Monitor"}, RANDBETWEEN(1,6))</f>
        <v>Laptop</v>
      </c>
      <c r="E84" s="4">
        <f t="shared" ca="1" si="7"/>
        <v>45675</v>
      </c>
      <c r="F84" s="4">
        <f t="shared" ca="1" si="8"/>
        <v>45684</v>
      </c>
      <c r="G84" s="2">
        <f t="shared" ca="1" si="9"/>
        <v>45823</v>
      </c>
      <c r="H84" s="3">
        <f t="shared" ca="1" si="10"/>
        <v>45871</v>
      </c>
      <c r="I84" s="2" t="str">
        <f t="shared" ca="1" si="11"/>
        <v>Delayed</v>
      </c>
      <c r="J84" s="2">
        <f t="shared" ca="1" si="12"/>
        <v>9</v>
      </c>
      <c r="K84" s="3">
        <f t="shared" ca="1" si="13"/>
        <v>48</v>
      </c>
    </row>
    <row r="85" spans="1:11">
      <c r="A85" t="s">
        <v>111</v>
      </c>
      <c r="B85" s="2" t="s">
        <v>35</v>
      </c>
      <c r="C85" s="2" t="s">
        <v>28</v>
      </c>
      <c r="D85" s="2" t="str" cm="1">
        <f t="array" aca="1" ref="D85" ca="1">INDEX({"Laptop","Smartphone","Headphones","Smartwatch","Tablet","Monitor"}, RANDBETWEEN(1,6))</f>
        <v>Monitor</v>
      </c>
      <c r="E85" s="4">
        <f t="shared" ca="1" si="7"/>
        <v>45754</v>
      </c>
      <c r="F85" s="4">
        <f t="shared" ca="1" si="8"/>
        <v>45764</v>
      </c>
      <c r="G85" s="2">
        <f t="shared" ca="1" si="9"/>
        <v>99031</v>
      </c>
      <c r="H85" s="3">
        <f t="shared" ca="1" si="10"/>
        <v>94488</v>
      </c>
      <c r="I85" s="2" t="str">
        <f t="shared" ca="1" si="11"/>
        <v>Delayed</v>
      </c>
      <c r="J85" s="2">
        <f t="shared" ca="1" si="12"/>
        <v>10</v>
      </c>
      <c r="K85" s="3">
        <f t="shared" ca="1" si="13"/>
        <v>-4543</v>
      </c>
    </row>
    <row r="86" spans="1:11">
      <c r="A86" t="s">
        <v>112</v>
      </c>
      <c r="B86" s="2" t="s">
        <v>37</v>
      </c>
      <c r="C86" s="2" t="s">
        <v>31</v>
      </c>
      <c r="D86" s="2" t="str" cm="1">
        <f t="array" aca="1" ref="D86" ca="1">INDEX({"Laptop","Smartphone","Headphones","Smartwatch","Tablet","Monitor"}, RANDBETWEEN(1,6))</f>
        <v>Laptop</v>
      </c>
      <c r="E86" s="4">
        <f t="shared" ca="1" si="7"/>
        <v>45780</v>
      </c>
      <c r="F86" s="4">
        <f t="shared" ca="1" si="8"/>
        <v>45783</v>
      </c>
      <c r="G86" s="2">
        <f t="shared" ca="1" si="9"/>
        <v>100250</v>
      </c>
      <c r="H86" s="3">
        <f t="shared" ca="1" si="10"/>
        <v>98414</v>
      </c>
      <c r="I86" s="2" t="str">
        <f t="shared" ca="1" si="11"/>
        <v>Delayed</v>
      </c>
      <c r="J86" s="2">
        <f t="shared" ca="1" si="12"/>
        <v>3</v>
      </c>
      <c r="K86" s="3">
        <f t="shared" ca="1" si="13"/>
        <v>-1836</v>
      </c>
    </row>
    <row r="87" spans="1:11">
      <c r="A87" t="s">
        <v>113</v>
      </c>
      <c r="B87" s="2" t="s">
        <v>12</v>
      </c>
      <c r="C87" s="2" t="s">
        <v>13</v>
      </c>
      <c r="D87" s="2" t="str" cm="1">
        <f t="array" aca="1" ref="D87" ca="1">INDEX({"Laptop","Smartphone","Headphones","Smartwatch","Tablet","Monitor"}, RANDBETWEEN(1,6))</f>
        <v>Laptop</v>
      </c>
      <c r="E87" s="4">
        <f t="shared" ca="1" si="7"/>
        <v>45810</v>
      </c>
      <c r="F87" s="4">
        <f t="shared" ca="1" si="8"/>
        <v>45815</v>
      </c>
      <c r="G87" s="2">
        <f t="shared" ca="1" si="9"/>
        <v>49405</v>
      </c>
      <c r="H87" s="3">
        <f t="shared" ca="1" si="10"/>
        <v>52346</v>
      </c>
      <c r="I87" s="2" t="str">
        <f t="shared" ca="1" si="11"/>
        <v>Delayed</v>
      </c>
      <c r="J87" s="2">
        <f t="shared" ca="1" si="12"/>
        <v>5</v>
      </c>
      <c r="K87" s="3">
        <f t="shared" ca="1" si="13"/>
        <v>2941</v>
      </c>
    </row>
    <row r="88" spans="1:11">
      <c r="A88" t="s">
        <v>114</v>
      </c>
      <c r="B88" s="2" t="s">
        <v>15</v>
      </c>
      <c r="C88" s="2" t="s">
        <v>16</v>
      </c>
      <c r="D88" s="2" t="str" cm="1">
        <f t="array" aca="1" ref="D88" ca="1">INDEX({"Laptop","Smartphone","Headphones","Smartwatch","Tablet","Monitor"}, RANDBETWEEN(1,6))</f>
        <v>Monitor</v>
      </c>
      <c r="E88" s="4">
        <f t="shared" ca="1" si="7"/>
        <v>45696</v>
      </c>
      <c r="F88" s="4">
        <f t="shared" ca="1" si="8"/>
        <v>45707</v>
      </c>
      <c r="G88" s="2">
        <f t="shared" ca="1" si="9"/>
        <v>64501</v>
      </c>
      <c r="H88" s="3">
        <f t="shared" ca="1" si="10"/>
        <v>67155</v>
      </c>
      <c r="I88" s="2" t="str">
        <f t="shared" ca="1" si="11"/>
        <v>Delayed</v>
      </c>
      <c r="J88" s="2">
        <f t="shared" ca="1" si="12"/>
        <v>11</v>
      </c>
      <c r="K88" s="3">
        <f t="shared" ca="1" si="13"/>
        <v>2654</v>
      </c>
    </row>
    <row r="89" spans="1:11">
      <c r="A89" t="s">
        <v>115</v>
      </c>
      <c r="B89" s="2" t="s">
        <v>18</v>
      </c>
      <c r="C89" s="2" t="s">
        <v>19</v>
      </c>
      <c r="D89" s="2" t="str" cm="1">
        <f t="array" aca="1" ref="D89" ca="1">INDEX({"Laptop","Smartphone","Headphones","Smartwatch","Tablet","Monitor"}, RANDBETWEEN(1,6))</f>
        <v>Monitor</v>
      </c>
      <c r="E89" s="4">
        <f t="shared" ca="1" si="7"/>
        <v>45807</v>
      </c>
      <c r="F89" s="4">
        <f t="shared" ca="1" si="8"/>
        <v>45813</v>
      </c>
      <c r="G89" s="2">
        <f t="shared" ca="1" si="9"/>
        <v>112353</v>
      </c>
      <c r="H89" s="3">
        <f t="shared" ca="1" si="10"/>
        <v>125535</v>
      </c>
      <c r="I89" s="2" t="str">
        <f t="shared" ca="1" si="11"/>
        <v>Delayed</v>
      </c>
      <c r="J89" s="2">
        <f t="shared" ca="1" si="12"/>
        <v>6</v>
      </c>
      <c r="K89" s="3">
        <f t="shared" ca="1" si="13"/>
        <v>13182</v>
      </c>
    </row>
    <row r="90" spans="1:11">
      <c r="A90" t="s">
        <v>116</v>
      </c>
      <c r="B90" s="2" t="s">
        <v>21</v>
      </c>
      <c r="C90" s="2" t="s">
        <v>22</v>
      </c>
      <c r="D90" s="2" t="str" cm="1">
        <f t="array" aca="1" ref="D90" ca="1">INDEX({"Laptop","Smartphone","Headphones","Smartwatch","Tablet","Monitor"}, RANDBETWEEN(1,6))</f>
        <v>Headphones</v>
      </c>
      <c r="E90" s="4">
        <f t="shared" ca="1" si="7"/>
        <v>45685</v>
      </c>
      <c r="F90" s="4">
        <f t="shared" ca="1" si="8"/>
        <v>45700</v>
      </c>
      <c r="G90" s="2">
        <f t="shared" ca="1" si="9"/>
        <v>66864</v>
      </c>
      <c r="H90" s="3">
        <f t="shared" ca="1" si="10"/>
        <v>63008</v>
      </c>
      <c r="I90" s="2" t="str">
        <f t="shared" ca="1" si="11"/>
        <v>Delayed</v>
      </c>
      <c r="J90" s="2">
        <f t="shared" ca="1" si="12"/>
        <v>15</v>
      </c>
      <c r="K90" s="3">
        <f t="shared" ca="1" si="13"/>
        <v>-3856</v>
      </c>
    </row>
    <row r="91" spans="1:11">
      <c r="A91" t="s">
        <v>117</v>
      </c>
      <c r="B91" s="2" t="s">
        <v>24</v>
      </c>
      <c r="C91" s="2" t="s">
        <v>25</v>
      </c>
      <c r="D91" s="2" t="str" cm="1">
        <f t="array" aca="1" ref="D91" ca="1">INDEX({"Laptop","Smartphone","Headphones","Smartwatch","Tablet","Monitor"}, RANDBETWEEN(1,6))</f>
        <v>Headphones</v>
      </c>
      <c r="E91" s="4">
        <f t="shared" ca="1" si="7"/>
        <v>45717</v>
      </c>
      <c r="F91" s="4">
        <f t="shared" ca="1" si="8"/>
        <v>45730</v>
      </c>
      <c r="G91" s="2">
        <f t="shared" ca="1" si="9"/>
        <v>54550</v>
      </c>
      <c r="H91" s="3">
        <f t="shared" ca="1" si="10"/>
        <v>57975</v>
      </c>
      <c r="I91" s="2" t="str">
        <f t="shared" ca="1" si="11"/>
        <v>Delayed</v>
      </c>
      <c r="J91" s="2">
        <f t="shared" ca="1" si="12"/>
        <v>13</v>
      </c>
      <c r="K91" s="3">
        <f t="shared" ca="1" si="13"/>
        <v>3425</v>
      </c>
    </row>
    <row r="92" spans="1:11">
      <c r="A92" t="s">
        <v>118</v>
      </c>
      <c r="B92" s="2" t="s">
        <v>27</v>
      </c>
      <c r="C92" s="2" t="s">
        <v>28</v>
      </c>
      <c r="D92" s="2" t="str" cm="1">
        <f t="array" aca="1" ref="D92" ca="1">INDEX({"Laptop","Smartphone","Headphones","Smartwatch","Tablet","Monitor"}, RANDBETWEEN(1,6))</f>
        <v>Smartwatch</v>
      </c>
      <c r="E92" s="4">
        <f t="shared" ca="1" si="7"/>
        <v>45812</v>
      </c>
      <c r="F92" s="4">
        <f t="shared" ca="1" si="8"/>
        <v>45826</v>
      </c>
      <c r="G92" s="2">
        <f t="shared" ca="1" si="9"/>
        <v>76124</v>
      </c>
      <c r="H92" s="3">
        <f t="shared" ca="1" si="10"/>
        <v>75297</v>
      </c>
      <c r="I92" s="2" t="str">
        <f t="shared" ca="1" si="11"/>
        <v>Delayed</v>
      </c>
      <c r="J92" s="2">
        <f t="shared" ca="1" si="12"/>
        <v>14</v>
      </c>
      <c r="K92" s="3">
        <f t="shared" ca="1" si="13"/>
        <v>-827</v>
      </c>
    </row>
    <row r="93" spans="1:11">
      <c r="A93" t="s">
        <v>119</v>
      </c>
      <c r="B93" s="2" t="s">
        <v>30</v>
      </c>
      <c r="C93" s="2" t="s">
        <v>31</v>
      </c>
      <c r="D93" s="2" t="str" cm="1">
        <f t="array" aca="1" ref="D93" ca="1">INDEX({"Laptop","Smartphone","Headphones","Smartwatch","Tablet","Monitor"}, RANDBETWEEN(1,6))</f>
        <v>Monitor</v>
      </c>
      <c r="E93" s="4">
        <f t="shared" ca="1" si="7"/>
        <v>45732</v>
      </c>
      <c r="F93" s="4">
        <f t="shared" ca="1" si="8"/>
        <v>45738</v>
      </c>
      <c r="G93" s="2">
        <f t="shared" ca="1" si="9"/>
        <v>90294</v>
      </c>
      <c r="H93" s="3">
        <f t="shared" ca="1" si="10"/>
        <v>92345</v>
      </c>
      <c r="I93" s="2" t="str">
        <f t="shared" ca="1" si="11"/>
        <v>Delayed</v>
      </c>
      <c r="J93" s="2">
        <f t="shared" ca="1" si="12"/>
        <v>6</v>
      </c>
      <c r="K93" s="3">
        <f t="shared" ca="1" si="13"/>
        <v>2051</v>
      </c>
    </row>
    <row r="94" spans="1:11">
      <c r="A94" t="s">
        <v>120</v>
      </c>
      <c r="B94" s="2" t="s">
        <v>33</v>
      </c>
      <c r="C94" s="2" t="s">
        <v>13</v>
      </c>
      <c r="D94" s="2" t="str" cm="1">
        <f t="array" aca="1" ref="D94" ca="1">INDEX({"Laptop","Smartphone","Headphones","Smartwatch","Tablet","Monitor"}, RANDBETWEEN(1,6))</f>
        <v>Laptop</v>
      </c>
      <c r="E94" s="4">
        <f t="shared" ca="1" si="7"/>
        <v>45785</v>
      </c>
      <c r="F94" s="4">
        <f t="shared" ca="1" si="8"/>
        <v>45791</v>
      </c>
      <c r="G94" s="2">
        <f t="shared" ca="1" si="9"/>
        <v>41410</v>
      </c>
      <c r="H94" s="3">
        <f t="shared" ca="1" si="10"/>
        <v>49343</v>
      </c>
      <c r="I94" s="2" t="str">
        <f t="shared" ca="1" si="11"/>
        <v>Delayed</v>
      </c>
      <c r="J94" s="2">
        <f t="shared" ca="1" si="12"/>
        <v>6</v>
      </c>
      <c r="K94" s="3">
        <f t="shared" ca="1" si="13"/>
        <v>7933</v>
      </c>
    </row>
    <row r="95" spans="1:11">
      <c r="A95" t="s">
        <v>121</v>
      </c>
      <c r="B95" s="2" t="s">
        <v>35</v>
      </c>
      <c r="C95" s="2" t="s">
        <v>16</v>
      </c>
      <c r="D95" s="2" t="str" cm="1">
        <f t="array" aca="1" ref="D95" ca="1">INDEX({"Laptop","Smartphone","Headphones","Smartwatch","Tablet","Monitor"}, RANDBETWEEN(1,6))</f>
        <v>Laptop</v>
      </c>
      <c r="E95" s="4">
        <f t="shared" ca="1" si="7"/>
        <v>45706</v>
      </c>
      <c r="F95" s="4">
        <f t="shared" ca="1" si="8"/>
        <v>45713</v>
      </c>
      <c r="G95" s="2">
        <f t="shared" ca="1" si="9"/>
        <v>118775</v>
      </c>
      <c r="H95" s="3">
        <f t="shared" ca="1" si="10"/>
        <v>129258</v>
      </c>
      <c r="I95" s="2" t="str">
        <f t="shared" ca="1" si="11"/>
        <v>Delayed</v>
      </c>
      <c r="J95" s="2">
        <f t="shared" ca="1" si="12"/>
        <v>7</v>
      </c>
      <c r="K95" s="3">
        <f t="shared" ca="1" si="13"/>
        <v>10483</v>
      </c>
    </row>
    <row r="96" spans="1:11">
      <c r="A96" t="s">
        <v>122</v>
      </c>
      <c r="B96" s="2" t="s">
        <v>37</v>
      </c>
      <c r="C96" s="2" t="s">
        <v>19</v>
      </c>
      <c r="D96" s="2" t="str" cm="1">
        <f t="array" aca="1" ref="D96" ca="1">INDEX({"Laptop","Smartphone","Headphones","Smartwatch","Tablet","Monitor"}, RANDBETWEEN(1,6))</f>
        <v>Tablet</v>
      </c>
      <c r="E96" s="4">
        <f t="shared" ca="1" si="7"/>
        <v>45729</v>
      </c>
      <c r="F96" s="4">
        <f t="shared" ca="1" si="8"/>
        <v>45743</v>
      </c>
      <c r="G96" s="2">
        <f t="shared" ca="1" si="9"/>
        <v>54613</v>
      </c>
      <c r="H96" s="3">
        <f t="shared" ca="1" si="10"/>
        <v>64447</v>
      </c>
      <c r="I96" s="2" t="str">
        <f t="shared" ca="1" si="11"/>
        <v>Delayed</v>
      </c>
      <c r="J96" s="2">
        <f t="shared" ca="1" si="12"/>
        <v>14</v>
      </c>
      <c r="K96" s="3">
        <f t="shared" ca="1" si="13"/>
        <v>9834</v>
      </c>
    </row>
    <row r="97" spans="1:11">
      <c r="A97" t="s">
        <v>123</v>
      </c>
      <c r="B97" s="2" t="s">
        <v>12</v>
      </c>
      <c r="C97" s="2" t="s">
        <v>22</v>
      </c>
      <c r="D97" s="2" t="str" cm="1">
        <f t="array" aca="1" ref="D97" ca="1">INDEX({"Laptop","Smartphone","Headphones","Smartwatch","Tablet","Monitor"}, RANDBETWEEN(1,6))</f>
        <v>Smartphone</v>
      </c>
      <c r="E97" s="4">
        <f t="shared" ca="1" si="7"/>
        <v>45677</v>
      </c>
      <c r="F97" s="4">
        <f t="shared" ca="1" si="8"/>
        <v>45691</v>
      </c>
      <c r="G97" s="2">
        <f t="shared" ca="1" si="9"/>
        <v>73459</v>
      </c>
      <c r="H97" s="3">
        <f t="shared" ca="1" si="10"/>
        <v>76282</v>
      </c>
      <c r="I97" s="2" t="str">
        <f t="shared" ca="1" si="11"/>
        <v>Delayed</v>
      </c>
      <c r="J97" s="2">
        <f t="shared" ca="1" si="12"/>
        <v>14</v>
      </c>
      <c r="K97" s="3">
        <f t="shared" ca="1" si="13"/>
        <v>2823</v>
      </c>
    </row>
    <row r="98" spans="1:11">
      <c r="A98" t="s">
        <v>124</v>
      </c>
      <c r="B98" s="2" t="s">
        <v>12</v>
      </c>
      <c r="C98" s="2" t="s">
        <v>25</v>
      </c>
      <c r="D98" s="2" t="str" cm="1">
        <f t="array" aca="1" ref="D98" ca="1">INDEX({"Laptop","Smartphone","Headphones","Smartwatch","Tablet","Monitor"}, RANDBETWEEN(1,6))</f>
        <v>Monitor</v>
      </c>
      <c r="E98" s="4">
        <f t="shared" ca="1" si="7"/>
        <v>45693</v>
      </c>
      <c r="F98" s="4">
        <f t="shared" ca="1" si="8"/>
        <v>45703</v>
      </c>
      <c r="G98" s="2">
        <f t="shared" ca="1" si="9"/>
        <v>89643</v>
      </c>
      <c r="H98" s="3">
        <f t="shared" ca="1" si="10"/>
        <v>95655</v>
      </c>
      <c r="I98" s="2" t="str">
        <f t="shared" ca="1" si="11"/>
        <v>Delayed</v>
      </c>
      <c r="J98" s="2">
        <f t="shared" ca="1" si="12"/>
        <v>10</v>
      </c>
      <c r="K98" s="3">
        <f t="shared" ca="1" si="13"/>
        <v>6012</v>
      </c>
    </row>
    <row r="99" spans="1:11">
      <c r="A99" t="s">
        <v>125</v>
      </c>
      <c r="B99" s="2" t="s">
        <v>15</v>
      </c>
      <c r="C99" s="2" t="s">
        <v>28</v>
      </c>
      <c r="D99" s="2" t="str" cm="1">
        <f t="array" aca="1" ref="D99" ca="1">INDEX({"Laptop","Smartphone","Headphones","Smartwatch","Tablet","Monitor"}, RANDBETWEEN(1,6))</f>
        <v>Smartwatch</v>
      </c>
      <c r="E99" s="4">
        <f t="shared" ca="1" si="7"/>
        <v>45827</v>
      </c>
      <c r="F99" s="4">
        <f t="shared" ca="1" si="8"/>
        <v>45835</v>
      </c>
      <c r="G99" s="2">
        <f t="shared" ca="1" si="9"/>
        <v>100354</v>
      </c>
      <c r="H99" s="3">
        <f t="shared" ca="1" si="10"/>
        <v>98303</v>
      </c>
      <c r="I99" s="2" t="str">
        <f t="shared" ca="1" si="11"/>
        <v>Delayed</v>
      </c>
      <c r="J99" s="2">
        <f t="shared" ca="1" si="12"/>
        <v>8</v>
      </c>
      <c r="K99" s="3">
        <f t="shared" ca="1" si="13"/>
        <v>-2051</v>
      </c>
    </row>
    <row r="100" spans="1:11">
      <c r="A100" t="s">
        <v>126</v>
      </c>
      <c r="B100" s="2" t="s">
        <v>18</v>
      </c>
      <c r="C100" s="2" t="s">
        <v>31</v>
      </c>
      <c r="D100" s="2" t="str" cm="1">
        <f t="array" aca="1" ref="D100" ca="1">INDEX({"Laptop","Smartphone","Headphones","Smartwatch","Tablet","Monitor"}, RANDBETWEEN(1,6))</f>
        <v>Monitor</v>
      </c>
      <c r="E100" s="4">
        <f t="shared" ca="1" si="7"/>
        <v>45793</v>
      </c>
      <c r="F100" s="4">
        <f t="shared" ca="1" si="8"/>
        <v>45806</v>
      </c>
      <c r="G100" s="2">
        <f t="shared" ca="1" si="9"/>
        <v>110249</v>
      </c>
      <c r="H100" s="3">
        <f t="shared" ca="1" si="10"/>
        <v>121590</v>
      </c>
      <c r="I100" s="2" t="str">
        <f t="shared" ca="1" si="11"/>
        <v>Delayed</v>
      </c>
      <c r="J100" s="2">
        <f t="shared" ca="1" si="12"/>
        <v>13</v>
      </c>
      <c r="K100" s="3">
        <f t="shared" ca="1" si="13"/>
        <v>11341</v>
      </c>
    </row>
    <row r="101" spans="1:11">
      <c r="A101" t="s">
        <v>127</v>
      </c>
      <c r="B101" s="2" t="s">
        <v>21</v>
      </c>
      <c r="C101" s="2" t="s">
        <v>31</v>
      </c>
      <c r="D101" s="2" t="str" cm="1">
        <f t="array" aca="1" ref="D101" ca="1">INDEX({"Laptop","Smartphone","Headphones","Smartwatch","Tablet","Monitor"}, RANDBETWEEN(1,6))</f>
        <v>Headphones</v>
      </c>
      <c r="E101" s="4">
        <f t="shared" ca="1" si="7"/>
        <v>45694</v>
      </c>
      <c r="F101" s="4">
        <f t="shared" ca="1" si="8"/>
        <v>45698</v>
      </c>
      <c r="G101" s="2">
        <f t="shared" ca="1" si="9"/>
        <v>78476</v>
      </c>
      <c r="H101" s="3">
        <f t="shared" ca="1" si="10"/>
        <v>77151</v>
      </c>
      <c r="I101" s="2" t="str">
        <f t="shared" ca="1" si="11"/>
        <v>Delayed</v>
      </c>
      <c r="J101" s="2">
        <f t="shared" ca="1" si="12"/>
        <v>4</v>
      </c>
      <c r="K101" s="3">
        <f t="shared" ca="1" si="13"/>
        <v>-1325</v>
      </c>
    </row>
    <row r="102" spans="1:11">
      <c r="A102" t="s">
        <v>128</v>
      </c>
      <c r="B102" s="2" t="s">
        <v>24</v>
      </c>
      <c r="C102" s="2" t="s">
        <v>13</v>
      </c>
      <c r="D102" s="2" t="str" cm="1">
        <f t="array" aca="1" ref="D102" ca="1">INDEX({"Laptop","Smartphone","Headphones","Smartwatch","Tablet","Monitor"}, RANDBETWEEN(1,6))</f>
        <v>Smartwatch</v>
      </c>
      <c r="E102" s="4">
        <f t="shared" ca="1" si="7"/>
        <v>45745</v>
      </c>
      <c r="F102" s="4">
        <f t="shared" ca="1" si="8"/>
        <v>45759</v>
      </c>
      <c r="G102" s="2">
        <f t="shared" ca="1" si="9"/>
        <v>56018</v>
      </c>
      <c r="H102" s="3">
        <f t="shared" ca="1" si="10"/>
        <v>63383</v>
      </c>
      <c r="I102" s="2" t="str">
        <f t="shared" ca="1" si="11"/>
        <v>Delayed</v>
      </c>
      <c r="J102" s="2">
        <f t="shared" ca="1" si="12"/>
        <v>14</v>
      </c>
      <c r="K102" s="3">
        <f t="shared" ca="1" si="13"/>
        <v>7365</v>
      </c>
    </row>
    <row r="103" spans="1:11">
      <c r="A103" t="s">
        <v>129</v>
      </c>
      <c r="B103" s="2" t="s">
        <v>27</v>
      </c>
      <c r="C103" s="2" t="s">
        <v>16</v>
      </c>
      <c r="D103" s="2" t="str" cm="1">
        <f t="array" aca="1" ref="D103" ca="1">INDEX({"Laptop","Smartphone","Headphones","Smartwatch","Tablet","Monitor"}, RANDBETWEEN(1,6))</f>
        <v>Smartwatch</v>
      </c>
      <c r="E103" s="4">
        <f t="shared" ca="1" si="7"/>
        <v>45821</v>
      </c>
      <c r="F103" s="4">
        <f t="shared" ca="1" si="8"/>
        <v>45827</v>
      </c>
      <c r="G103" s="2">
        <f t="shared" ca="1" si="9"/>
        <v>105753</v>
      </c>
      <c r="H103" s="3">
        <f t="shared" ca="1" si="10"/>
        <v>105333</v>
      </c>
      <c r="I103" s="2" t="str">
        <f t="shared" ca="1" si="11"/>
        <v>Delayed</v>
      </c>
      <c r="J103" s="2">
        <f t="shared" ca="1" si="12"/>
        <v>6</v>
      </c>
      <c r="K103" s="3">
        <f t="shared" ca="1" si="13"/>
        <v>-420</v>
      </c>
    </row>
    <row r="104" spans="1:11">
      <c r="A104" t="s">
        <v>130</v>
      </c>
      <c r="B104" s="2" t="s">
        <v>30</v>
      </c>
      <c r="C104" s="2" t="s">
        <v>19</v>
      </c>
      <c r="D104" s="2" t="str" cm="1">
        <f t="array" aca="1" ref="D104" ca="1">INDEX({"Laptop","Smartphone","Headphones","Smartwatch","Tablet","Monitor"}, RANDBETWEEN(1,6))</f>
        <v>Monitor</v>
      </c>
      <c r="E104" s="4">
        <f t="shared" ca="1" si="7"/>
        <v>45785</v>
      </c>
      <c r="F104" s="4">
        <f t="shared" ca="1" si="8"/>
        <v>45800</v>
      </c>
      <c r="G104" s="2">
        <f t="shared" ca="1" si="9"/>
        <v>69568</v>
      </c>
      <c r="H104" s="3">
        <f t="shared" ca="1" si="10"/>
        <v>83649</v>
      </c>
      <c r="I104" s="2" t="str">
        <f t="shared" ca="1" si="11"/>
        <v>Delayed</v>
      </c>
      <c r="J104" s="2">
        <f t="shared" ca="1" si="12"/>
        <v>15</v>
      </c>
      <c r="K104" s="3">
        <f t="shared" ca="1" si="13"/>
        <v>14081</v>
      </c>
    </row>
    <row r="105" spans="1:11">
      <c r="A105" t="s">
        <v>131</v>
      </c>
      <c r="B105" s="2" t="s">
        <v>33</v>
      </c>
      <c r="C105" s="2" t="s">
        <v>22</v>
      </c>
      <c r="D105" s="2" t="str" cm="1">
        <f t="array" aca="1" ref="D105" ca="1">INDEX({"Laptop","Smartphone","Headphones","Smartwatch","Tablet","Monitor"}, RANDBETWEEN(1,6))</f>
        <v>Monitor</v>
      </c>
      <c r="E105" s="4">
        <f t="shared" ca="1" si="7"/>
        <v>45787</v>
      </c>
      <c r="F105" s="4">
        <f t="shared" ca="1" si="8"/>
        <v>45794</v>
      </c>
      <c r="G105" s="2">
        <f t="shared" ca="1" si="9"/>
        <v>60956</v>
      </c>
      <c r="H105" s="3">
        <f t="shared" ca="1" si="10"/>
        <v>57110</v>
      </c>
      <c r="I105" s="2" t="str">
        <f t="shared" ca="1" si="11"/>
        <v>Delayed</v>
      </c>
      <c r="J105" s="2">
        <f t="shared" ca="1" si="12"/>
        <v>7</v>
      </c>
      <c r="K105" s="3">
        <f t="shared" ca="1" si="13"/>
        <v>-3846</v>
      </c>
    </row>
    <row r="106" spans="1:11">
      <c r="A106" t="s">
        <v>132</v>
      </c>
      <c r="B106" s="2" t="s">
        <v>35</v>
      </c>
      <c r="C106" s="2" t="s">
        <v>25</v>
      </c>
      <c r="D106" s="2" t="str" cm="1">
        <f t="array" aca="1" ref="D106" ca="1">INDEX({"Laptop","Smartphone","Headphones","Smartwatch","Tablet","Monitor"}, RANDBETWEEN(1,6))</f>
        <v>Laptop</v>
      </c>
      <c r="E106" s="4">
        <f t="shared" ca="1" si="7"/>
        <v>45724</v>
      </c>
      <c r="F106" s="4">
        <f t="shared" ca="1" si="8"/>
        <v>45737</v>
      </c>
      <c r="G106" s="2">
        <f t="shared" ca="1" si="9"/>
        <v>104069</v>
      </c>
      <c r="H106" s="3">
        <f t="shared" ca="1" si="10"/>
        <v>115454</v>
      </c>
      <c r="I106" s="2" t="str">
        <f t="shared" ca="1" si="11"/>
        <v>Delayed</v>
      </c>
      <c r="J106" s="2">
        <f t="shared" ca="1" si="12"/>
        <v>13</v>
      </c>
      <c r="K106" s="3">
        <f t="shared" ca="1" si="13"/>
        <v>11385</v>
      </c>
    </row>
    <row r="107" spans="1:11">
      <c r="A107" t="s">
        <v>133</v>
      </c>
      <c r="B107" s="2" t="s">
        <v>37</v>
      </c>
      <c r="C107" s="2" t="s">
        <v>28</v>
      </c>
      <c r="D107" s="2" t="str" cm="1">
        <f t="array" aca="1" ref="D107" ca="1">INDEX({"Laptop","Smartphone","Headphones","Smartwatch","Tablet","Monitor"}, RANDBETWEEN(1,6))</f>
        <v>Monitor</v>
      </c>
      <c r="E107" s="4">
        <f t="shared" ca="1" si="7"/>
        <v>45805</v>
      </c>
      <c r="F107" s="4">
        <f t="shared" ca="1" si="8"/>
        <v>45814</v>
      </c>
      <c r="G107" s="2">
        <f t="shared" ca="1" si="9"/>
        <v>58220</v>
      </c>
      <c r="H107" s="3">
        <f t="shared" ca="1" si="10"/>
        <v>61400</v>
      </c>
      <c r="I107" s="2" t="str">
        <f t="shared" ca="1" si="11"/>
        <v>Delayed</v>
      </c>
      <c r="J107" s="2">
        <f t="shared" ca="1" si="12"/>
        <v>9</v>
      </c>
      <c r="K107" s="3">
        <f t="shared" ca="1" si="13"/>
        <v>3180</v>
      </c>
    </row>
    <row r="108" spans="1:11">
      <c r="A108" t="s">
        <v>134</v>
      </c>
      <c r="B108" s="2" t="s">
        <v>12</v>
      </c>
      <c r="C108" s="2" t="s">
        <v>31</v>
      </c>
      <c r="D108" s="2" t="str" cm="1">
        <f t="array" aca="1" ref="D108" ca="1">INDEX({"Laptop","Smartphone","Headphones","Smartwatch","Tablet","Monitor"}, RANDBETWEEN(1,6))</f>
        <v>Monitor</v>
      </c>
      <c r="E108" s="4">
        <f t="shared" ca="1" si="7"/>
        <v>45754</v>
      </c>
      <c r="F108" s="4">
        <f t="shared" ca="1" si="8"/>
        <v>45763</v>
      </c>
      <c r="G108" s="2">
        <f t="shared" ca="1" si="9"/>
        <v>56464</v>
      </c>
      <c r="H108" s="3">
        <f t="shared" ca="1" si="10"/>
        <v>54999</v>
      </c>
      <c r="I108" s="2" t="str">
        <f t="shared" ca="1" si="11"/>
        <v>Delayed</v>
      </c>
      <c r="J108" s="2">
        <f t="shared" ca="1" si="12"/>
        <v>9</v>
      </c>
      <c r="K108" s="3">
        <f t="shared" ca="1" si="13"/>
        <v>-1465</v>
      </c>
    </row>
    <row r="109" spans="1:11">
      <c r="A109" t="s">
        <v>135</v>
      </c>
      <c r="B109" s="2" t="s">
        <v>15</v>
      </c>
      <c r="C109" s="2" t="s">
        <v>31</v>
      </c>
      <c r="D109" s="2" t="str" cm="1">
        <f t="array" aca="1" ref="D109" ca="1">INDEX({"Laptop","Smartphone","Headphones","Smartwatch","Tablet","Monitor"}, RANDBETWEEN(1,6))</f>
        <v>Smartwatch</v>
      </c>
      <c r="E109" s="4">
        <f t="shared" ca="1" si="7"/>
        <v>45796</v>
      </c>
      <c r="F109" s="4">
        <f t="shared" ca="1" si="8"/>
        <v>45811</v>
      </c>
      <c r="G109" s="2">
        <f t="shared" ca="1" si="9"/>
        <v>68047</v>
      </c>
      <c r="H109" s="3">
        <f t="shared" ca="1" si="10"/>
        <v>73899</v>
      </c>
      <c r="I109" s="2" t="str">
        <f t="shared" ca="1" si="11"/>
        <v>Delayed</v>
      </c>
      <c r="J109" s="2">
        <f t="shared" ca="1" si="12"/>
        <v>15</v>
      </c>
      <c r="K109" s="3">
        <f t="shared" ca="1" si="13"/>
        <v>5852</v>
      </c>
    </row>
    <row r="110" spans="1:11">
      <c r="A110" t="s">
        <v>136</v>
      </c>
      <c r="B110" s="2" t="s">
        <v>18</v>
      </c>
      <c r="C110" s="2" t="s">
        <v>16</v>
      </c>
      <c r="D110" s="2" t="str" cm="1">
        <f t="array" aca="1" ref="D110" ca="1">INDEX({"Laptop","Smartphone","Headphones","Smartwatch","Tablet","Monitor"}, RANDBETWEEN(1,6))</f>
        <v>Smartwatch</v>
      </c>
      <c r="E110" s="4">
        <f t="shared" ca="1" si="7"/>
        <v>45679</v>
      </c>
      <c r="F110" s="4">
        <f t="shared" ca="1" si="8"/>
        <v>45681</v>
      </c>
      <c r="G110" s="2">
        <f t="shared" ca="1" si="9"/>
        <v>111769</v>
      </c>
      <c r="H110" s="3">
        <f t="shared" ca="1" si="10"/>
        <v>124942</v>
      </c>
      <c r="I110" s="2" t="str">
        <f t="shared" ca="1" si="11"/>
        <v>Delayed</v>
      </c>
      <c r="J110" s="2">
        <f t="shared" ca="1" si="12"/>
        <v>2</v>
      </c>
      <c r="K110" s="3">
        <f t="shared" ca="1" si="13"/>
        <v>13173</v>
      </c>
    </row>
    <row r="111" spans="1:11">
      <c r="A111" t="s">
        <v>137</v>
      </c>
      <c r="B111" s="2" t="s">
        <v>21</v>
      </c>
      <c r="C111" s="2" t="s">
        <v>19</v>
      </c>
      <c r="D111" s="2" t="str" cm="1">
        <f t="array" aca="1" ref="D111" ca="1">INDEX({"Laptop","Smartphone","Headphones","Smartwatch","Tablet","Monitor"}, RANDBETWEEN(1,6))</f>
        <v>Smartphone</v>
      </c>
      <c r="E111" s="4">
        <f t="shared" ca="1" si="7"/>
        <v>45813</v>
      </c>
      <c r="F111" s="4">
        <f t="shared" ca="1" si="8"/>
        <v>45818</v>
      </c>
      <c r="G111" s="2">
        <f t="shared" ca="1" si="9"/>
        <v>116360</v>
      </c>
      <c r="H111" s="3">
        <f t="shared" ca="1" si="10"/>
        <v>115885</v>
      </c>
      <c r="I111" s="2" t="str">
        <f t="shared" ca="1" si="11"/>
        <v>Delayed</v>
      </c>
      <c r="J111" s="2">
        <f t="shared" ca="1" si="12"/>
        <v>5</v>
      </c>
      <c r="K111" s="3">
        <f t="shared" ca="1" si="13"/>
        <v>-475</v>
      </c>
    </row>
    <row r="112" spans="1:11">
      <c r="A112" t="s">
        <v>138</v>
      </c>
      <c r="B112" s="2" t="s">
        <v>24</v>
      </c>
      <c r="C112" s="2" t="s">
        <v>22</v>
      </c>
      <c r="D112" s="2" t="str" cm="1">
        <f t="array" aca="1" ref="D112" ca="1">INDEX({"Laptop","Smartphone","Headphones","Smartwatch","Tablet","Monitor"}, RANDBETWEEN(1,6))</f>
        <v>Headphones</v>
      </c>
      <c r="E112" s="4">
        <f t="shared" ca="1" si="7"/>
        <v>45708</v>
      </c>
      <c r="F112" s="4">
        <f t="shared" ca="1" si="8"/>
        <v>45718</v>
      </c>
      <c r="G112" s="2">
        <f t="shared" ca="1" si="9"/>
        <v>119487</v>
      </c>
      <c r="H112" s="3">
        <f t="shared" ca="1" si="10"/>
        <v>121886</v>
      </c>
      <c r="I112" s="2" t="str">
        <f t="shared" ca="1" si="11"/>
        <v>Delayed</v>
      </c>
      <c r="J112" s="2">
        <f t="shared" ca="1" si="12"/>
        <v>10</v>
      </c>
      <c r="K112" s="3">
        <f t="shared" ca="1" si="13"/>
        <v>2399</v>
      </c>
    </row>
    <row r="113" spans="1:11">
      <c r="A113" t="s">
        <v>139</v>
      </c>
      <c r="B113" s="2" t="s">
        <v>27</v>
      </c>
      <c r="C113" s="2" t="s">
        <v>25</v>
      </c>
      <c r="D113" s="2" t="str" cm="1">
        <f t="array" aca="1" ref="D113" ca="1">INDEX({"Laptop","Smartphone","Headphones","Smartwatch","Tablet","Monitor"}, RANDBETWEEN(1,6))</f>
        <v>Smartwatch</v>
      </c>
      <c r="E113" s="4">
        <f t="shared" ca="1" si="7"/>
        <v>45677</v>
      </c>
      <c r="F113" s="4">
        <f t="shared" ca="1" si="8"/>
        <v>45690</v>
      </c>
      <c r="G113" s="2">
        <f t="shared" ca="1" si="9"/>
        <v>112098</v>
      </c>
      <c r="H113" s="3">
        <f t="shared" ca="1" si="10"/>
        <v>124375</v>
      </c>
      <c r="I113" s="2" t="str">
        <f t="shared" ca="1" si="11"/>
        <v>Delayed</v>
      </c>
      <c r="J113" s="2">
        <f t="shared" ca="1" si="12"/>
        <v>13</v>
      </c>
      <c r="K113" s="3">
        <f t="shared" ca="1" si="13"/>
        <v>12277</v>
      </c>
    </row>
    <row r="114" spans="1:11">
      <c r="A114" t="s">
        <v>140</v>
      </c>
      <c r="B114" s="2" t="s">
        <v>30</v>
      </c>
      <c r="C114" s="2" t="s">
        <v>28</v>
      </c>
      <c r="D114" s="2" t="str" cm="1">
        <f t="array" aca="1" ref="D114" ca="1">INDEX({"Laptop","Smartphone","Headphones","Smartwatch","Tablet","Monitor"}, RANDBETWEEN(1,6))</f>
        <v>Tablet</v>
      </c>
      <c r="E114" s="4">
        <f t="shared" ca="1" si="7"/>
        <v>45796</v>
      </c>
      <c r="F114" s="4">
        <f t="shared" ca="1" si="8"/>
        <v>45807</v>
      </c>
      <c r="G114" s="2">
        <f t="shared" ca="1" si="9"/>
        <v>96490</v>
      </c>
      <c r="H114" s="3">
        <f t="shared" ca="1" si="10"/>
        <v>92754</v>
      </c>
      <c r="I114" s="2" t="str">
        <f t="shared" ca="1" si="11"/>
        <v>Delayed</v>
      </c>
      <c r="J114" s="2">
        <f t="shared" ca="1" si="12"/>
        <v>11</v>
      </c>
      <c r="K114" s="3">
        <f t="shared" ca="1" si="13"/>
        <v>-3736</v>
      </c>
    </row>
    <row r="115" spans="1:11">
      <c r="A115" t="s">
        <v>141</v>
      </c>
      <c r="B115" s="2" t="s">
        <v>33</v>
      </c>
      <c r="C115" s="2" t="s">
        <v>31</v>
      </c>
      <c r="D115" s="2" t="str" cm="1">
        <f t="array" aca="1" ref="D115" ca="1">INDEX({"Laptop","Smartphone","Headphones","Smartwatch","Tablet","Monitor"}, RANDBETWEEN(1,6))</f>
        <v>Smartphone</v>
      </c>
      <c r="E115" s="4">
        <f t="shared" ca="1" si="7"/>
        <v>45791</v>
      </c>
      <c r="F115" s="4">
        <f t="shared" ca="1" si="8"/>
        <v>45806</v>
      </c>
      <c r="G115" s="2">
        <f t="shared" ca="1" si="9"/>
        <v>91646</v>
      </c>
      <c r="H115" s="3">
        <f t="shared" ca="1" si="10"/>
        <v>88757</v>
      </c>
      <c r="I115" s="2" t="str">
        <f t="shared" ca="1" si="11"/>
        <v>Delayed</v>
      </c>
      <c r="J115" s="2">
        <f t="shared" ca="1" si="12"/>
        <v>15</v>
      </c>
      <c r="K115" s="3">
        <f t="shared" ca="1" si="13"/>
        <v>-2889</v>
      </c>
    </row>
    <row r="116" spans="1:11">
      <c r="A116" t="s">
        <v>142</v>
      </c>
      <c r="B116" s="2" t="s">
        <v>35</v>
      </c>
      <c r="C116" s="2" t="s">
        <v>31</v>
      </c>
      <c r="D116" s="2" t="str" cm="1">
        <f t="array" aca="1" ref="D116" ca="1">INDEX({"Laptop","Smartphone","Headphones","Smartwatch","Tablet","Monitor"}, RANDBETWEEN(1,6))</f>
        <v>Tablet</v>
      </c>
      <c r="E116" s="4">
        <f t="shared" ca="1" si="7"/>
        <v>45717</v>
      </c>
      <c r="F116" s="4">
        <f t="shared" ca="1" si="8"/>
        <v>45729</v>
      </c>
      <c r="G116" s="2">
        <f t="shared" ca="1" si="9"/>
        <v>118051</v>
      </c>
      <c r="H116" s="3">
        <f t="shared" ca="1" si="10"/>
        <v>132162</v>
      </c>
      <c r="I116" s="2" t="str">
        <f t="shared" ca="1" si="11"/>
        <v>Delayed</v>
      </c>
      <c r="J116" s="2">
        <f t="shared" ca="1" si="12"/>
        <v>12</v>
      </c>
      <c r="K116" s="3">
        <f t="shared" ca="1" si="13"/>
        <v>14111</v>
      </c>
    </row>
    <row r="117" spans="1:11">
      <c r="A117" t="s">
        <v>143</v>
      </c>
      <c r="B117" s="2" t="s">
        <v>37</v>
      </c>
      <c r="C117" s="2" t="s">
        <v>16</v>
      </c>
      <c r="D117" s="2" t="str" cm="1">
        <f t="array" aca="1" ref="D117" ca="1">INDEX({"Laptop","Smartphone","Headphones","Smartwatch","Tablet","Monitor"}, RANDBETWEEN(1,6))</f>
        <v>Smartwatch</v>
      </c>
      <c r="E117" s="4">
        <f t="shared" ca="1" si="7"/>
        <v>45832</v>
      </c>
      <c r="F117" s="4">
        <f t="shared" ca="1" si="8"/>
        <v>45841</v>
      </c>
      <c r="G117" s="2">
        <f t="shared" ca="1" si="9"/>
        <v>76821</v>
      </c>
      <c r="H117" s="3">
        <f t="shared" ca="1" si="10"/>
        <v>78757</v>
      </c>
      <c r="I117" s="2" t="str">
        <f t="shared" ca="1" si="11"/>
        <v>Delayed</v>
      </c>
      <c r="J117" s="2">
        <f t="shared" ca="1" si="12"/>
        <v>9</v>
      </c>
      <c r="K117" s="3">
        <f t="shared" ca="1" si="13"/>
        <v>1936</v>
      </c>
    </row>
    <row r="118" spans="1:11">
      <c r="A118" t="s">
        <v>144</v>
      </c>
      <c r="B118" s="2" t="s">
        <v>12</v>
      </c>
      <c r="C118" s="2" t="s">
        <v>19</v>
      </c>
      <c r="D118" s="2" t="str" cm="1">
        <f t="array" aca="1" ref="D118" ca="1">INDEX({"Laptop","Smartphone","Headphones","Smartwatch","Tablet","Monitor"}, RANDBETWEEN(1,6))</f>
        <v>Monitor</v>
      </c>
      <c r="E118" s="4">
        <f t="shared" ca="1" si="7"/>
        <v>45723</v>
      </c>
      <c r="F118" s="4">
        <f t="shared" ca="1" si="8"/>
        <v>45728</v>
      </c>
      <c r="G118" s="2">
        <f t="shared" ca="1" si="9"/>
        <v>63847</v>
      </c>
      <c r="H118" s="3">
        <f t="shared" ca="1" si="10"/>
        <v>63454</v>
      </c>
      <c r="I118" s="2" t="str">
        <f t="shared" ca="1" si="11"/>
        <v>Delayed</v>
      </c>
      <c r="J118" s="2">
        <f t="shared" ca="1" si="12"/>
        <v>5</v>
      </c>
      <c r="K118" s="3">
        <f t="shared" ca="1" si="13"/>
        <v>-393</v>
      </c>
    </row>
    <row r="119" spans="1:11">
      <c r="A119" t="s">
        <v>145</v>
      </c>
      <c r="B119" s="2" t="s">
        <v>15</v>
      </c>
      <c r="C119" s="2" t="s">
        <v>22</v>
      </c>
      <c r="D119" s="2" t="str" cm="1">
        <f t="array" aca="1" ref="D119" ca="1">INDEX({"Laptop","Smartphone","Headphones","Smartwatch","Tablet","Monitor"}, RANDBETWEEN(1,6))</f>
        <v>Smartwatch</v>
      </c>
      <c r="E119" s="4">
        <f t="shared" ca="1" si="7"/>
        <v>45696</v>
      </c>
      <c r="F119" s="4">
        <f t="shared" ca="1" si="8"/>
        <v>45707</v>
      </c>
      <c r="G119" s="2">
        <f t="shared" ca="1" si="9"/>
        <v>41351</v>
      </c>
      <c r="H119" s="3">
        <f t="shared" ca="1" si="10"/>
        <v>45852</v>
      </c>
      <c r="I119" s="2" t="str">
        <f t="shared" ca="1" si="11"/>
        <v>Delayed</v>
      </c>
      <c r="J119" s="2">
        <f t="shared" ca="1" si="12"/>
        <v>11</v>
      </c>
      <c r="K119" s="3">
        <f t="shared" ca="1" si="13"/>
        <v>4501</v>
      </c>
    </row>
    <row r="120" spans="1:11">
      <c r="A120" t="s">
        <v>146</v>
      </c>
      <c r="B120" s="2" t="s">
        <v>18</v>
      </c>
      <c r="C120" s="2" t="s">
        <v>25</v>
      </c>
      <c r="D120" s="2" t="str" cm="1">
        <f t="array" aca="1" ref="D120" ca="1">INDEX({"Laptop","Smartphone","Headphones","Smartwatch","Tablet","Monitor"}, RANDBETWEEN(1,6))</f>
        <v>Laptop</v>
      </c>
      <c r="E120" s="4">
        <f t="shared" ca="1" si="7"/>
        <v>45761</v>
      </c>
      <c r="F120" s="4">
        <f t="shared" ca="1" si="8"/>
        <v>45774</v>
      </c>
      <c r="G120" s="2">
        <f t="shared" ca="1" si="9"/>
        <v>53729</v>
      </c>
      <c r="H120" s="3">
        <f t="shared" ca="1" si="10"/>
        <v>56322</v>
      </c>
      <c r="I120" s="2" t="str">
        <f t="shared" ca="1" si="11"/>
        <v>Delayed</v>
      </c>
      <c r="J120" s="2">
        <f t="shared" ca="1" si="12"/>
        <v>13</v>
      </c>
      <c r="K120" s="3">
        <f t="shared" ca="1" si="13"/>
        <v>2593</v>
      </c>
    </row>
    <row r="121" spans="1:11">
      <c r="A121" t="s">
        <v>147</v>
      </c>
      <c r="B121" s="2" t="s">
        <v>12</v>
      </c>
      <c r="C121" s="2" t="s">
        <v>28</v>
      </c>
      <c r="D121" s="2" t="str" cm="1">
        <f t="array" aca="1" ref="D121" ca="1">INDEX({"Laptop","Smartphone","Headphones","Smartwatch","Tablet","Monitor"}, RANDBETWEEN(1,6))</f>
        <v>Headphones</v>
      </c>
      <c r="E121" s="4">
        <f t="shared" ca="1" si="7"/>
        <v>45833</v>
      </c>
      <c r="F121" s="4">
        <f t="shared" ca="1" si="8"/>
        <v>45840</v>
      </c>
      <c r="G121" s="2">
        <f t="shared" ca="1" si="9"/>
        <v>90765</v>
      </c>
      <c r="H121" s="3">
        <f t="shared" ca="1" si="10"/>
        <v>92697</v>
      </c>
      <c r="I121" s="2" t="str">
        <f t="shared" ca="1" si="11"/>
        <v>Delayed</v>
      </c>
      <c r="J121" s="2">
        <f t="shared" ca="1" si="12"/>
        <v>7</v>
      </c>
      <c r="K121" s="3">
        <f t="shared" ca="1" si="13"/>
        <v>1932</v>
      </c>
    </row>
    <row r="122" spans="1:11">
      <c r="A122" t="s">
        <v>148</v>
      </c>
      <c r="B122" s="2" t="s">
        <v>15</v>
      </c>
      <c r="C122" s="2" t="s">
        <v>31</v>
      </c>
      <c r="D122" s="2" t="str" cm="1">
        <f t="array" aca="1" ref="D122" ca="1">INDEX({"Laptop","Smartphone","Headphones","Smartwatch","Tablet","Monitor"}, RANDBETWEEN(1,6))</f>
        <v>Laptop</v>
      </c>
      <c r="E122" s="4">
        <f t="shared" ca="1" si="7"/>
        <v>45713</v>
      </c>
      <c r="F122" s="4">
        <f t="shared" ca="1" si="8"/>
        <v>45723</v>
      </c>
      <c r="G122" s="2">
        <f t="shared" ca="1" si="9"/>
        <v>85983</v>
      </c>
      <c r="H122" s="3">
        <f t="shared" ca="1" si="10"/>
        <v>85354</v>
      </c>
      <c r="I122" s="2" t="str">
        <f t="shared" ca="1" si="11"/>
        <v>Delayed</v>
      </c>
      <c r="J122" s="2">
        <f t="shared" ca="1" si="12"/>
        <v>10</v>
      </c>
      <c r="K122" s="3">
        <f t="shared" ca="1" si="13"/>
        <v>-629</v>
      </c>
    </row>
    <row r="123" spans="1:11">
      <c r="A123" t="s">
        <v>149</v>
      </c>
      <c r="B123" s="2" t="s">
        <v>18</v>
      </c>
      <c r="C123" s="2" t="s">
        <v>31</v>
      </c>
      <c r="D123" s="2" t="str" cm="1">
        <f t="array" aca="1" ref="D123" ca="1">INDEX({"Laptop","Smartphone","Headphones","Smartwatch","Tablet","Monitor"}, RANDBETWEEN(1,6))</f>
        <v>Laptop</v>
      </c>
      <c r="E123" s="4">
        <f t="shared" ca="1" si="7"/>
        <v>45721</v>
      </c>
      <c r="F123" s="4">
        <f t="shared" ca="1" si="8"/>
        <v>45736</v>
      </c>
      <c r="G123" s="2">
        <f t="shared" ca="1" si="9"/>
        <v>53454</v>
      </c>
      <c r="H123" s="3">
        <f t="shared" ca="1" si="10"/>
        <v>62762</v>
      </c>
      <c r="I123" s="2" t="str">
        <f t="shared" ca="1" si="11"/>
        <v>Delayed</v>
      </c>
      <c r="J123" s="2">
        <f t="shared" ca="1" si="12"/>
        <v>15</v>
      </c>
      <c r="K123" s="3">
        <f t="shared" ca="1" si="13"/>
        <v>9308</v>
      </c>
    </row>
    <row r="124" spans="1:11">
      <c r="A124" t="s">
        <v>150</v>
      </c>
      <c r="B124" s="2" t="s">
        <v>21</v>
      </c>
      <c r="C124" s="2" t="s">
        <v>16</v>
      </c>
      <c r="D124" s="2" t="str" cm="1">
        <f t="array" aca="1" ref="D124" ca="1">INDEX({"Laptop","Smartphone","Headphones","Smartwatch","Tablet","Monitor"}, RANDBETWEEN(1,6))</f>
        <v>Headphones</v>
      </c>
      <c r="E124" s="4">
        <f t="shared" ca="1" si="7"/>
        <v>45788</v>
      </c>
      <c r="F124" s="4">
        <f t="shared" ca="1" si="8"/>
        <v>45802</v>
      </c>
      <c r="G124" s="2">
        <f t="shared" ca="1" si="9"/>
        <v>104863</v>
      </c>
      <c r="H124" s="3">
        <f t="shared" ca="1" si="10"/>
        <v>100183</v>
      </c>
      <c r="I124" s="2" t="str">
        <f t="shared" ca="1" si="11"/>
        <v>Delayed</v>
      </c>
      <c r="J124" s="2">
        <f t="shared" ca="1" si="12"/>
        <v>14</v>
      </c>
      <c r="K124" s="3">
        <f t="shared" ca="1" si="13"/>
        <v>-4680</v>
      </c>
    </row>
    <row r="125" spans="1:11">
      <c r="A125" t="s">
        <v>151</v>
      </c>
      <c r="B125" s="2" t="s">
        <v>24</v>
      </c>
      <c r="C125" s="2" t="s">
        <v>19</v>
      </c>
      <c r="D125" s="2" t="str" cm="1">
        <f t="array" aca="1" ref="D125" ca="1">INDEX({"Laptop","Smartphone","Headphones","Smartwatch","Tablet","Monitor"}, RANDBETWEEN(1,6))</f>
        <v>Monitor</v>
      </c>
      <c r="E125" s="4">
        <f t="shared" ca="1" si="7"/>
        <v>45722</v>
      </c>
      <c r="F125" s="4">
        <f t="shared" ca="1" si="8"/>
        <v>45727</v>
      </c>
      <c r="G125" s="2">
        <f t="shared" ca="1" si="9"/>
        <v>105664</v>
      </c>
      <c r="H125" s="3">
        <f t="shared" ca="1" si="10"/>
        <v>110596</v>
      </c>
      <c r="I125" s="2" t="str">
        <f t="shared" ca="1" si="11"/>
        <v>Delayed</v>
      </c>
      <c r="J125" s="2">
        <f t="shared" ca="1" si="12"/>
        <v>5</v>
      </c>
      <c r="K125" s="3">
        <f t="shared" ca="1" si="13"/>
        <v>4932</v>
      </c>
    </row>
    <row r="126" spans="1:11">
      <c r="A126" t="s">
        <v>152</v>
      </c>
      <c r="B126" s="2" t="s">
        <v>27</v>
      </c>
      <c r="C126" s="2" t="s">
        <v>22</v>
      </c>
      <c r="D126" s="2" t="str" cm="1">
        <f t="array" aca="1" ref="D126" ca="1">INDEX({"Laptop","Smartphone","Headphones","Smartwatch","Tablet","Monitor"}, RANDBETWEEN(1,6))</f>
        <v>Headphones</v>
      </c>
      <c r="E126" s="4">
        <f t="shared" ca="1" si="7"/>
        <v>45807</v>
      </c>
      <c r="F126" s="4">
        <f t="shared" ca="1" si="8"/>
        <v>45817</v>
      </c>
      <c r="G126" s="2">
        <f t="shared" ca="1" si="9"/>
        <v>112152</v>
      </c>
      <c r="H126" s="3">
        <f t="shared" ca="1" si="10"/>
        <v>108905</v>
      </c>
      <c r="I126" s="2" t="str">
        <f t="shared" ca="1" si="11"/>
        <v>Delayed</v>
      </c>
      <c r="J126" s="2">
        <f t="shared" ca="1" si="12"/>
        <v>10</v>
      </c>
      <c r="K126" s="3">
        <f t="shared" ca="1" si="13"/>
        <v>-3247</v>
      </c>
    </row>
    <row r="127" spans="1:11">
      <c r="A127" t="s">
        <v>153</v>
      </c>
      <c r="B127" s="2" t="s">
        <v>30</v>
      </c>
      <c r="C127" s="2" t="s">
        <v>25</v>
      </c>
      <c r="D127" s="2" t="str" cm="1">
        <f t="array" aca="1" ref="D127" ca="1">INDEX({"Laptop","Smartphone","Headphones","Smartwatch","Tablet","Monitor"}, RANDBETWEEN(1,6))</f>
        <v>Laptop</v>
      </c>
      <c r="E127" s="4">
        <f t="shared" ca="1" si="7"/>
        <v>45675</v>
      </c>
      <c r="F127" s="4">
        <f t="shared" ca="1" si="8"/>
        <v>45687</v>
      </c>
      <c r="G127" s="2">
        <f t="shared" ca="1" si="9"/>
        <v>72816</v>
      </c>
      <c r="H127" s="3">
        <f t="shared" ca="1" si="10"/>
        <v>83884</v>
      </c>
      <c r="I127" s="2" t="str">
        <f t="shared" ca="1" si="11"/>
        <v>Delayed</v>
      </c>
      <c r="J127" s="2">
        <f t="shared" ca="1" si="12"/>
        <v>12</v>
      </c>
      <c r="K127" s="3">
        <f t="shared" ca="1" si="13"/>
        <v>11068</v>
      </c>
    </row>
    <row r="128" spans="1:11">
      <c r="A128" t="s">
        <v>154</v>
      </c>
      <c r="B128" s="2" t="s">
        <v>33</v>
      </c>
      <c r="C128" s="2" t="s">
        <v>28</v>
      </c>
      <c r="D128" s="2" t="str" cm="1">
        <f t="array" aca="1" ref="D128" ca="1">INDEX({"Laptop","Smartphone","Headphones","Smartwatch","Tablet","Monitor"}, RANDBETWEEN(1,6))</f>
        <v>Smartwatch</v>
      </c>
      <c r="E128" s="4">
        <f t="shared" ca="1" si="7"/>
        <v>45727</v>
      </c>
      <c r="F128" s="4">
        <f t="shared" ca="1" si="8"/>
        <v>45741</v>
      </c>
      <c r="G128" s="2">
        <f t="shared" ca="1" si="9"/>
        <v>52766</v>
      </c>
      <c r="H128" s="3">
        <f t="shared" ca="1" si="10"/>
        <v>53423</v>
      </c>
      <c r="I128" s="2" t="str">
        <f t="shared" ca="1" si="11"/>
        <v>Delayed</v>
      </c>
      <c r="J128" s="2">
        <f t="shared" ca="1" si="12"/>
        <v>14</v>
      </c>
      <c r="K128" s="3">
        <f t="shared" ca="1" si="13"/>
        <v>657</v>
      </c>
    </row>
    <row r="129" spans="1:11">
      <c r="A129" t="s">
        <v>155</v>
      </c>
      <c r="B129" s="2" t="s">
        <v>35</v>
      </c>
      <c r="C129" s="2" t="s">
        <v>31</v>
      </c>
      <c r="D129" s="2" t="str" cm="1">
        <f t="array" aca="1" ref="D129" ca="1">INDEX({"Laptop","Smartphone","Headphones","Smartwatch","Tablet","Monitor"}, RANDBETWEEN(1,6))</f>
        <v>Laptop</v>
      </c>
      <c r="E129" s="4">
        <f t="shared" ca="1" si="7"/>
        <v>45754</v>
      </c>
      <c r="F129" s="4">
        <f t="shared" ca="1" si="8"/>
        <v>45764</v>
      </c>
      <c r="G129" s="2">
        <f t="shared" ca="1" si="9"/>
        <v>62192</v>
      </c>
      <c r="H129" s="3">
        <f t="shared" ca="1" si="10"/>
        <v>64986</v>
      </c>
      <c r="I129" s="2" t="str">
        <f t="shared" ca="1" si="11"/>
        <v>Delayed</v>
      </c>
      <c r="J129" s="2">
        <f t="shared" ca="1" si="12"/>
        <v>10</v>
      </c>
      <c r="K129" s="3">
        <f t="shared" ca="1" si="13"/>
        <v>2794</v>
      </c>
    </row>
    <row r="130" spans="1:11">
      <c r="A130" t="s">
        <v>156</v>
      </c>
      <c r="B130" s="2" t="s">
        <v>37</v>
      </c>
      <c r="C130" s="2" t="s">
        <v>19</v>
      </c>
      <c r="D130" s="2" t="str" cm="1">
        <f t="array" aca="1" ref="D130" ca="1">INDEX({"Laptop","Smartphone","Headphones","Smartwatch","Tablet","Monitor"}, RANDBETWEEN(1,6))</f>
        <v>Monitor</v>
      </c>
      <c r="E130" s="4">
        <f t="shared" ca="1" si="7"/>
        <v>45761</v>
      </c>
      <c r="F130" s="4">
        <f t="shared" ca="1" si="8"/>
        <v>45774</v>
      </c>
      <c r="G130" s="2">
        <f t="shared" ca="1" si="9"/>
        <v>105686</v>
      </c>
      <c r="H130" s="3">
        <f t="shared" ca="1" si="10"/>
        <v>113129</v>
      </c>
      <c r="I130" s="2" t="str">
        <f t="shared" ca="1" si="11"/>
        <v>Delayed</v>
      </c>
      <c r="J130" s="2">
        <f t="shared" ca="1" si="12"/>
        <v>13</v>
      </c>
      <c r="K130" s="3">
        <f t="shared" ca="1" si="13"/>
        <v>7443</v>
      </c>
    </row>
    <row r="131" spans="1:11">
      <c r="A131" t="s">
        <v>157</v>
      </c>
      <c r="B131" s="2" t="s">
        <v>12</v>
      </c>
      <c r="C131" s="2" t="s">
        <v>22</v>
      </c>
      <c r="D131" s="2" t="str" cm="1">
        <f t="array" aca="1" ref="D131" ca="1">INDEX({"Laptop","Smartphone","Headphones","Smartwatch","Tablet","Monitor"}, RANDBETWEEN(1,6))</f>
        <v>Headphones</v>
      </c>
      <c r="E131" s="4">
        <f t="shared" ref="E131:E194" ca="1" si="14">DATE(2025,1,1) + RANDBETWEEN(0,180)</f>
        <v>45783</v>
      </c>
      <c r="F131" s="4">
        <f t="shared" ref="F131:F194" ca="1" si="15">E131 + RANDBETWEEN(2,15)</f>
        <v>45797</v>
      </c>
      <c r="G131" s="2">
        <f t="shared" ref="G131:G194" ca="1" si="16">RANDBETWEEN(40000,120000)</f>
        <v>117733</v>
      </c>
      <c r="H131" s="3">
        <f t="shared" ref="H131:H194" ca="1" si="17">G131 + RANDBETWEEN(-5000,15000)</f>
        <v>116654</v>
      </c>
      <c r="I131" s="2" t="str">
        <f t="shared" ref="I131:I194" ca="1" si="18">IF(K131=0,"On Time","Delayed")</f>
        <v>Delayed</v>
      </c>
      <c r="J131" s="2">
        <f t="shared" ref="J131:J194" ca="1" si="19">F131-E131</f>
        <v>14</v>
      </c>
      <c r="K131" s="3">
        <f t="shared" ref="K131:K194" ca="1" si="20">H131-G131</f>
        <v>-1079</v>
      </c>
    </row>
    <row r="132" spans="1:11">
      <c r="A132" t="s">
        <v>158</v>
      </c>
      <c r="B132" s="2" t="s">
        <v>15</v>
      </c>
      <c r="C132" s="2" t="s">
        <v>25</v>
      </c>
      <c r="D132" s="2" t="str" cm="1">
        <f t="array" aca="1" ref="D132" ca="1">INDEX({"Laptop","Smartphone","Headphones","Smartwatch","Tablet","Monitor"}, RANDBETWEEN(1,6))</f>
        <v>Smartwatch</v>
      </c>
      <c r="E132" s="4">
        <f t="shared" ca="1" si="14"/>
        <v>45709</v>
      </c>
      <c r="F132" s="4">
        <f t="shared" ca="1" si="15"/>
        <v>45716</v>
      </c>
      <c r="G132" s="2">
        <f t="shared" ca="1" si="16"/>
        <v>48873</v>
      </c>
      <c r="H132" s="3">
        <f t="shared" ca="1" si="17"/>
        <v>56857</v>
      </c>
      <c r="I132" s="2" t="str">
        <f t="shared" ca="1" si="18"/>
        <v>Delayed</v>
      </c>
      <c r="J132" s="2">
        <f t="shared" ca="1" si="19"/>
        <v>7</v>
      </c>
      <c r="K132" s="3">
        <f t="shared" ca="1" si="20"/>
        <v>7984</v>
      </c>
    </row>
    <row r="133" spans="1:11">
      <c r="A133" t="s">
        <v>159</v>
      </c>
      <c r="B133" s="2" t="s">
        <v>18</v>
      </c>
      <c r="C133" s="2" t="s">
        <v>28</v>
      </c>
      <c r="D133" s="2" t="str" cm="1">
        <f t="array" aca="1" ref="D133" ca="1">INDEX({"Laptop","Smartphone","Headphones","Smartwatch","Tablet","Monitor"}, RANDBETWEEN(1,6))</f>
        <v>Laptop</v>
      </c>
      <c r="E133" s="4">
        <f t="shared" ca="1" si="14"/>
        <v>45673</v>
      </c>
      <c r="F133" s="4">
        <f t="shared" ca="1" si="15"/>
        <v>45683</v>
      </c>
      <c r="G133" s="2">
        <f t="shared" ca="1" si="16"/>
        <v>90104</v>
      </c>
      <c r="H133" s="3">
        <f t="shared" ca="1" si="17"/>
        <v>89780</v>
      </c>
      <c r="I133" s="2" t="str">
        <f t="shared" ca="1" si="18"/>
        <v>Delayed</v>
      </c>
      <c r="J133" s="2">
        <f t="shared" ca="1" si="19"/>
        <v>10</v>
      </c>
      <c r="K133" s="3">
        <f t="shared" ca="1" si="20"/>
        <v>-324</v>
      </c>
    </row>
    <row r="134" spans="1:11">
      <c r="A134" t="s">
        <v>160</v>
      </c>
      <c r="B134" s="2" t="s">
        <v>21</v>
      </c>
      <c r="C134" s="2" t="s">
        <v>31</v>
      </c>
      <c r="D134" s="2" t="str" cm="1">
        <f t="array" aca="1" ref="D134" ca="1">INDEX({"Laptop","Smartphone","Headphones","Smartwatch","Tablet","Monitor"}, RANDBETWEEN(1,6))</f>
        <v>Monitor</v>
      </c>
      <c r="E134" s="4">
        <f t="shared" ca="1" si="14"/>
        <v>45730</v>
      </c>
      <c r="F134" s="4">
        <f t="shared" ca="1" si="15"/>
        <v>45744</v>
      </c>
      <c r="G134" s="2">
        <f t="shared" ca="1" si="16"/>
        <v>59328</v>
      </c>
      <c r="H134" s="3">
        <f t="shared" ca="1" si="17"/>
        <v>59363</v>
      </c>
      <c r="I134" s="2" t="str">
        <f t="shared" ca="1" si="18"/>
        <v>Delayed</v>
      </c>
      <c r="J134" s="2">
        <f t="shared" ca="1" si="19"/>
        <v>14</v>
      </c>
      <c r="K134" s="3">
        <f t="shared" ca="1" si="20"/>
        <v>35</v>
      </c>
    </row>
    <row r="135" spans="1:11">
      <c r="A135" t="s">
        <v>161</v>
      </c>
      <c r="B135" s="2" t="s">
        <v>24</v>
      </c>
      <c r="C135" s="2" t="s">
        <v>31</v>
      </c>
      <c r="D135" s="2" t="str" cm="1">
        <f t="array" aca="1" ref="D135" ca="1">INDEX({"Laptop","Smartphone","Headphones","Smartwatch","Tablet","Monitor"}, RANDBETWEEN(1,6))</f>
        <v>Tablet</v>
      </c>
      <c r="E135" s="4">
        <f t="shared" ca="1" si="14"/>
        <v>45694</v>
      </c>
      <c r="F135" s="4">
        <f t="shared" ca="1" si="15"/>
        <v>45709</v>
      </c>
      <c r="G135" s="2">
        <f t="shared" ca="1" si="16"/>
        <v>80558</v>
      </c>
      <c r="H135" s="3">
        <f t="shared" ca="1" si="17"/>
        <v>92456</v>
      </c>
      <c r="I135" s="2" t="str">
        <f t="shared" ca="1" si="18"/>
        <v>Delayed</v>
      </c>
      <c r="J135" s="2">
        <f t="shared" ca="1" si="19"/>
        <v>15</v>
      </c>
      <c r="K135" s="3">
        <f t="shared" ca="1" si="20"/>
        <v>11898</v>
      </c>
    </row>
    <row r="136" spans="1:11">
      <c r="A136" t="s">
        <v>162</v>
      </c>
      <c r="B136" s="2" t="s">
        <v>27</v>
      </c>
      <c r="C136" s="2" t="s">
        <v>16</v>
      </c>
      <c r="D136" s="2" t="str" cm="1">
        <f t="array" aca="1" ref="D136" ca="1">INDEX({"Laptop","Smartphone","Headphones","Smartwatch","Tablet","Monitor"}, RANDBETWEEN(1,6))</f>
        <v>Tablet</v>
      </c>
      <c r="E136" s="4">
        <f t="shared" ca="1" si="14"/>
        <v>45714</v>
      </c>
      <c r="F136" s="4">
        <f t="shared" ca="1" si="15"/>
        <v>45718</v>
      </c>
      <c r="G136" s="2">
        <f t="shared" ca="1" si="16"/>
        <v>41307</v>
      </c>
      <c r="H136" s="3">
        <f t="shared" ca="1" si="17"/>
        <v>54626</v>
      </c>
      <c r="I136" s="2" t="str">
        <f t="shared" ca="1" si="18"/>
        <v>Delayed</v>
      </c>
      <c r="J136" s="2">
        <f t="shared" ca="1" si="19"/>
        <v>4</v>
      </c>
      <c r="K136" s="3">
        <f t="shared" ca="1" si="20"/>
        <v>13319</v>
      </c>
    </row>
    <row r="137" spans="1:11">
      <c r="A137" t="s">
        <v>163</v>
      </c>
      <c r="B137" s="2" t="s">
        <v>30</v>
      </c>
      <c r="C137" s="2" t="s">
        <v>19</v>
      </c>
      <c r="D137" s="2" t="str" cm="1">
        <f t="array" aca="1" ref="D137" ca="1">INDEX({"Laptop","Smartphone","Headphones","Smartwatch","Tablet","Monitor"}, RANDBETWEEN(1,6))</f>
        <v>Smartphone</v>
      </c>
      <c r="E137" s="4">
        <f t="shared" ca="1" si="14"/>
        <v>45814</v>
      </c>
      <c r="F137" s="4">
        <f t="shared" ca="1" si="15"/>
        <v>45826</v>
      </c>
      <c r="G137" s="2">
        <f t="shared" ca="1" si="16"/>
        <v>56784</v>
      </c>
      <c r="H137" s="3">
        <f t="shared" ca="1" si="17"/>
        <v>63278</v>
      </c>
      <c r="I137" s="2" t="str">
        <f t="shared" ca="1" si="18"/>
        <v>Delayed</v>
      </c>
      <c r="J137" s="2">
        <f t="shared" ca="1" si="19"/>
        <v>12</v>
      </c>
      <c r="K137" s="3">
        <f t="shared" ca="1" si="20"/>
        <v>6494</v>
      </c>
    </row>
    <row r="138" spans="1:11">
      <c r="A138" t="s">
        <v>164</v>
      </c>
      <c r="B138" s="2" t="s">
        <v>33</v>
      </c>
      <c r="C138" s="2" t="s">
        <v>22</v>
      </c>
      <c r="D138" s="2" t="str" cm="1">
        <f t="array" aca="1" ref="D138" ca="1">INDEX({"Laptop","Smartphone","Headphones","Smartwatch","Tablet","Monitor"}, RANDBETWEEN(1,6))</f>
        <v>Laptop</v>
      </c>
      <c r="E138" s="4">
        <f t="shared" ca="1" si="14"/>
        <v>45688</v>
      </c>
      <c r="F138" s="4">
        <f t="shared" ca="1" si="15"/>
        <v>45694</v>
      </c>
      <c r="G138" s="2">
        <f t="shared" ca="1" si="16"/>
        <v>48040</v>
      </c>
      <c r="H138" s="3">
        <f t="shared" ca="1" si="17"/>
        <v>47080</v>
      </c>
      <c r="I138" s="2" t="str">
        <f t="shared" ca="1" si="18"/>
        <v>Delayed</v>
      </c>
      <c r="J138" s="2">
        <f t="shared" ca="1" si="19"/>
        <v>6</v>
      </c>
      <c r="K138" s="3">
        <f t="shared" ca="1" si="20"/>
        <v>-960</v>
      </c>
    </row>
    <row r="139" spans="1:11">
      <c r="A139" t="s">
        <v>165</v>
      </c>
      <c r="B139" s="2" t="s">
        <v>35</v>
      </c>
      <c r="C139" s="2" t="s">
        <v>25</v>
      </c>
      <c r="D139" s="2" t="str" cm="1">
        <f t="array" aca="1" ref="D139" ca="1">INDEX({"Laptop","Smartphone","Headphones","Smartwatch","Tablet","Monitor"}, RANDBETWEEN(1,6))</f>
        <v>Laptop</v>
      </c>
      <c r="E139" s="4">
        <f t="shared" ca="1" si="14"/>
        <v>45745</v>
      </c>
      <c r="F139" s="4">
        <f t="shared" ca="1" si="15"/>
        <v>45758</v>
      </c>
      <c r="G139" s="2">
        <f t="shared" ca="1" si="16"/>
        <v>118386</v>
      </c>
      <c r="H139" s="3">
        <f t="shared" ca="1" si="17"/>
        <v>129815</v>
      </c>
      <c r="I139" s="2" t="str">
        <f t="shared" ca="1" si="18"/>
        <v>Delayed</v>
      </c>
      <c r="J139" s="2">
        <f t="shared" ca="1" si="19"/>
        <v>13</v>
      </c>
      <c r="K139" s="3">
        <f t="shared" ca="1" si="20"/>
        <v>11429</v>
      </c>
    </row>
    <row r="140" spans="1:11">
      <c r="A140" t="s">
        <v>166</v>
      </c>
      <c r="B140" s="2" t="s">
        <v>37</v>
      </c>
      <c r="C140" s="2" t="s">
        <v>28</v>
      </c>
      <c r="D140" s="2" t="str" cm="1">
        <f t="array" aca="1" ref="D140" ca="1">INDEX({"Laptop","Smartphone","Headphones","Smartwatch","Tablet","Monitor"}, RANDBETWEEN(1,6))</f>
        <v>Monitor</v>
      </c>
      <c r="E140" s="4">
        <f t="shared" ca="1" si="14"/>
        <v>45672</v>
      </c>
      <c r="F140" s="4">
        <f t="shared" ca="1" si="15"/>
        <v>45682</v>
      </c>
      <c r="G140" s="2">
        <f t="shared" ca="1" si="16"/>
        <v>42302</v>
      </c>
      <c r="H140" s="3">
        <f t="shared" ca="1" si="17"/>
        <v>47469</v>
      </c>
      <c r="I140" s="2" t="str">
        <f t="shared" ca="1" si="18"/>
        <v>Delayed</v>
      </c>
      <c r="J140" s="2">
        <f t="shared" ca="1" si="19"/>
        <v>10</v>
      </c>
      <c r="K140" s="3">
        <f t="shared" ca="1" si="20"/>
        <v>5167</v>
      </c>
    </row>
    <row r="141" spans="1:11">
      <c r="A141" t="s">
        <v>167</v>
      </c>
      <c r="B141" s="2" t="s">
        <v>12</v>
      </c>
      <c r="C141" s="2" t="s">
        <v>31</v>
      </c>
      <c r="D141" s="2" t="str" cm="1">
        <f t="array" aca="1" ref="D141" ca="1">INDEX({"Laptop","Smartphone","Headphones","Smartwatch","Tablet","Monitor"}, RANDBETWEEN(1,6))</f>
        <v>Headphones</v>
      </c>
      <c r="E141" s="4">
        <f t="shared" ca="1" si="14"/>
        <v>45685</v>
      </c>
      <c r="F141" s="4">
        <f t="shared" ca="1" si="15"/>
        <v>45692</v>
      </c>
      <c r="G141" s="2">
        <f t="shared" ca="1" si="16"/>
        <v>71609</v>
      </c>
      <c r="H141" s="3">
        <f t="shared" ca="1" si="17"/>
        <v>69269</v>
      </c>
      <c r="I141" s="2" t="str">
        <f t="shared" ca="1" si="18"/>
        <v>Delayed</v>
      </c>
      <c r="J141" s="2">
        <f t="shared" ca="1" si="19"/>
        <v>7</v>
      </c>
      <c r="K141" s="3">
        <f t="shared" ca="1" si="20"/>
        <v>-2340</v>
      </c>
    </row>
    <row r="142" spans="1:11">
      <c r="A142" t="s">
        <v>168</v>
      </c>
      <c r="B142" s="2" t="s">
        <v>15</v>
      </c>
      <c r="C142" s="2" t="s">
        <v>31</v>
      </c>
      <c r="D142" s="2" t="str" cm="1">
        <f t="array" aca="1" ref="D142" ca="1">INDEX({"Laptop","Smartphone","Headphones","Smartwatch","Tablet","Monitor"}, RANDBETWEEN(1,6))</f>
        <v>Headphones</v>
      </c>
      <c r="E142" s="4">
        <f t="shared" ca="1" si="14"/>
        <v>45811</v>
      </c>
      <c r="F142" s="4">
        <f t="shared" ca="1" si="15"/>
        <v>45820</v>
      </c>
      <c r="G142" s="2">
        <f t="shared" ca="1" si="16"/>
        <v>40403</v>
      </c>
      <c r="H142" s="3">
        <f t="shared" ca="1" si="17"/>
        <v>50112</v>
      </c>
      <c r="I142" s="2" t="str">
        <f t="shared" ca="1" si="18"/>
        <v>Delayed</v>
      </c>
      <c r="J142" s="2">
        <f t="shared" ca="1" si="19"/>
        <v>9</v>
      </c>
      <c r="K142" s="3">
        <f t="shared" ca="1" si="20"/>
        <v>9709</v>
      </c>
    </row>
    <row r="143" spans="1:11">
      <c r="A143" t="s">
        <v>169</v>
      </c>
      <c r="B143" s="2" t="s">
        <v>18</v>
      </c>
      <c r="C143" s="2" t="s">
        <v>16</v>
      </c>
      <c r="D143" s="2" t="str" cm="1">
        <f t="array" aca="1" ref="D143" ca="1">INDEX({"Laptop","Smartphone","Headphones","Smartwatch","Tablet","Monitor"}, RANDBETWEEN(1,6))</f>
        <v>Smartphone</v>
      </c>
      <c r="E143" s="4">
        <f t="shared" ca="1" si="14"/>
        <v>45689</v>
      </c>
      <c r="F143" s="4">
        <f t="shared" ca="1" si="15"/>
        <v>45693</v>
      </c>
      <c r="G143" s="2">
        <f t="shared" ca="1" si="16"/>
        <v>76393</v>
      </c>
      <c r="H143" s="3">
        <f t="shared" ca="1" si="17"/>
        <v>87617</v>
      </c>
      <c r="I143" s="2" t="str">
        <f t="shared" ca="1" si="18"/>
        <v>Delayed</v>
      </c>
      <c r="J143" s="2">
        <f t="shared" ca="1" si="19"/>
        <v>4</v>
      </c>
      <c r="K143" s="3">
        <f t="shared" ca="1" si="20"/>
        <v>11224</v>
      </c>
    </row>
    <row r="144" spans="1:11">
      <c r="A144" t="s">
        <v>170</v>
      </c>
      <c r="B144" s="2" t="s">
        <v>12</v>
      </c>
      <c r="C144" s="2" t="s">
        <v>19</v>
      </c>
      <c r="D144" s="2" t="str" cm="1">
        <f t="array" aca="1" ref="D144" ca="1">INDEX({"Laptop","Smartphone","Headphones","Smartwatch","Tablet","Monitor"}, RANDBETWEEN(1,6))</f>
        <v>Smartwatch</v>
      </c>
      <c r="E144" s="4">
        <f t="shared" ca="1" si="14"/>
        <v>45705</v>
      </c>
      <c r="F144" s="4">
        <f t="shared" ca="1" si="15"/>
        <v>45714</v>
      </c>
      <c r="G144" s="2">
        <f t="shared" ca="1" si="16"/>
        <v>56826</v>
      </c>
      <c r="H144" s="3">
        <f t="shared" ca="1" si="17"/>
        <v>51869</v>
      </c>
      <c r="I144" s="2" t="str">
        <f t="shared" ca="1" si="18"/>
        <v>Delayed</v>
      </c>
      <c r="J144" s="2">
        <f t="shared" ca="1" si="19"/>
        <v>9</v>
      </c>
      <c r="K144" s="3">
        <f t="shared" ca="1" si="20"/>
        <v>-4957</v>
      </c>
    </row>
    <row r="145" spans="1:11">
      <c r="A145" t="s">
        <v>171</v>
      </c>
      <c r="B145" s="2" t="s">
        <v>15</v>
      </c>
      <c r="C145" s="2" t="s">
        <v>22</v>
      </c>
      <c r="D145" s="2" t="str" cm="1">
        <f t="array" aca="1" ref="D145" ca="1">INDEX({"Laptop","Smartphone","Headphones","Smartwatch","Tablet","Monitor"}, RANDBETWEEN(1,6))</f>
        <v>Laptop</v>
      </c>
      <c r="E145" s="4">
        <f t="shared" ca="1" si="14"/>
        <v>45679</v>
      </c>
      <c r="F145" s="4">
        <f t="shared" ca="1" si="15"/>
        <v>45683</v>
      </c>
      <c r="G145" s="2">
        <f t="shared" ca="1" si="16"/>
        <v>45899</v>
      </c>
      <c r="H145" s="3">
        <f t="shared" ca="1" si="17"/>
        <v>57684</v>
      </c>
      <c r="I145" s="2" t="str">
        <f t="shared" ca="1" si="18"/>
        <v>Delayed</v>
      </c>
      <c r="J145" s="2">
        <f t="shared" ca="1" si="19"/>
        <v>4</v>
      </c>
      <c r="K145" s="3">
        <f t="shared" ca="1" si="20"/>
        <v>11785</v>
      </c>
    </row>
    <row r="146" spans="1:11">
      <c r="A146" t="s">
        <v>172</v>
      </c>
      <c r="B146" s="2" t="s">
        <v>18</v>
      </c>
      <c r="C146" s="2" t="s">
        <v>25</v>
      </c>
      <c r="D146" s="2" t="str" cm="1">
        <f t="array" aca="1" ref="D146" ca="1">INDEX({"Laptop","Smartphone","Headphones","Smartwatch","Tablet","Monitor"}, RANDBETWEEN(1,6))</f>
        <v>Headphones</v>
      </c>
      <c r="E146" s="4">
        <f t="shared" ca="1" si="14"/>
        <v>45765</v>
      </c>
      <c r="F146" s="4">
        <f t="shared" ca="1" si="15"/>
        <v>45769</v>
      </c>
      <c r="G146" s="2">
        <f t="shared" ca="1" si="16"/>
        <v>49815</v>
      </c>
      <c r="H146" s="3">
        <f t="shared" ca="1" si="17"/>
        <v>62624</v>
      </c>
      <c r="I146" s="2" t="str">
        <f t="shared" ca="1" si="18"/>
        <v>Delayed</v>
      </c>
      <c r="J146" s="2">
        <f t="shared" ca="1" si="19"/>
        <v>4</v>
      </c>
      <c r="K146" s="3">
        <f t="shared" ca="1" si="20"/>
        <v>12809</v>
      </c>
    </row>
    <row r="147" spans="1:11">
      <c r="A147" t="s">
        <v>173</v>
      </c>
      <c r="B147" s="2" t="s">
        <v>21</v>
      </c>
      <c r="C147" s="2" t="s">
        <v>28</v>
      </c>
      <c r="D147" s="2" t="str" cm="1">
        <f t="array" aca="1" ref="D147" ca="1">INDEX({"Laptop","Smartphone","Headphones","Smartwatch","Tablet","Monitor"}, RANDBETWEEN(1,6))</f>
        <v>Tablet</v>
      </c>
      <c r="E147" s="4">
        <f t="shared" ca="1" si="14"/>
        <v>45677</v>
      </c>
      <c r="F147" s="4">
        <f t="shared" ca="1" si="15"/>
        <v>45680</v>
      </c>
      <c r="G147" s="2">
        <f t="shared" ca="1" si="16"/>
        <v>71189</v>
      </c>
      <c r="H147" s="3">
        <f t="shared" ca="1" si="17"/>
        <v>66239</v>
      </c>
      <c r="I147" s="2" t="str">
        <f t="shared" ca="1" si="18"/>
        <v>Delayed</v>
      </c>
      <c r="J147" s="2">
        <f t="shared" ca="1" si="19"/>
        <v>3</v>
      </c>
      <c r="K147" s="3">
        <f t="shared" ca="1" si="20"/>
        <v>-4950</v>
      </c>
    </row>
    <row r="148" spans="1:11">
      <c r="A148" t="s">
        <v>174</v>
      </c>
      <c r="B148" s="2" t="s">
        <v>24</v>
      </c>
      <c r="C148" s="2" t="s">
        <v>31</v>
      </c>
      <c r="D148" s="2" t="str" cm="1">
        <f t="array" aca="1" ref="D148" ca="1">INDEX({"Laptop","Smartphone","Headphones","Smartwatch","Tablet","Monitor"}, RANDBETWEEN(1,6))</f>
        <v>Smartwatch</v>
      </c>
      <c r="E148" s="4">
        <f t="shared" ca="1" si="14"/>
        <v>45794</v>
      </c>
      <c r="F148" s="4">
        <f t="shared" ca="1" si="15"/>
        <v>45803</v>
      </c>
      <c r="G148" s="2">
        <f t="shared" ca="1" si="16"/>
        <v>58257</v>
      </c>
      <c r="H148" s="3">
        <f t="shared" ca="1" si="17"/>
        <v>59932</v>
      </c>
      <c r="I148" s="2" t="str">
        <f t="shared" ca="1" si="18"/>
        <v>Delayed</v>
      </c>
      <c r="J148" s="2">
        <f t="shared" ca="1" si="19"/>
        <v>9</v>
      </c>
      <c r="K148" s="3">
        <f t="shared" ca="1" si="20"/>
        <v>1675</v>
      </c>
    </row>
    <row r="149" spans="1:11">
      <c r="A149" t="s">
        <v>175</v>
      </c>
      <c r="B149" s="2" t="s">
        <v>27</v>
      </c>
      <c r="C149" s="2" t="s">
        <v>19</v>
      </c>
      <c r="D149" s="2" t="str" cm="1">
        <f t="array" aca="1" ref="D149" ca="1">INDEX({"Laptop","Smartphone","Headphones","Smartwatch","Tablet","Monitor"}, RANDBETWEEN(1,6))</f>
        <v>Smartwatch</v>
      </c>
      <c r="E149" s="4">
        <f t="shared" ca="1" si="14"/>
        <v>45736</v>
      </c>
      <c r="F149" s="4">
        <f t="shared" ca="1" si="15"/>
        <v>45747</v>
      </c>
      <c r="G149" s="2">
        <f t="shared" ca="1" si="16"/>
        <v>47740</v>
      </c>
      <c r="H149" s="3">
        <f t="shared" ca="1" si="17"/>
        <v>56814</v>
      </c>
      <c r="I149" s="2" t="str">
        <f t="shared" ca="1" si="18"/>
        <v>Delayed</v>
      </c>
      <c r="J149" s="2">
        <f t="shared" ca="1" si="19"/>
        <v>11</v>
      </c>
      <c r="K149" s="3">
        <f t="shared" ca="1" si="20"/>
        <v>9074</v>
      </c>
    </row>
    <row r="150" spans="1:11">
      <c r="A150" t="s">
        <v>176</v>
      </c>
      <c r="B150" s="2" t="s">
        <v>30</v>
      </c>
      <c r="C150" s="2" t="s">
        <v>19</v>
      </c>
      <c r="D150" s="2" t="str" cm="1">
        <f t="array" aca="1" ref="D150" ca="1">INDEX({"Laptop","Smartphone","Headphones","Smartwatch","Tablet","Monitor"}, RANDBETWEEN(1,6))</f>
        <v>Tablet</v>
      </c>
      <c r="E150" s="4">
        <f t="shared" ca="1" si="14"/>
        <v>45660</v>
      </c>
      <c r="F150" s="4">
        <f t="shared" ca="1" si="15"/>
        <v>45665</v>
      </c>
      <c r="G150" s="2">
        <f t="shared" ca="1" si="16"/>
        <v>102062</v>
      </c>
      <c r="H150" s="3">
        <f t="shared" ca="1" si="17"/>
        <v>103600</v>
      </c>
      <c r="I150" s="2" t="str">
        <f t="shared" ca="1" si="18"/>
        <v>Delayed</v>
      </c>
      <c r="J150" s="2">
        <f t="shared" ca="1" si="19"/>
        <v>5</v>
      </c>
      <c r="K150" s="3">
        <f t="shared" ca="1" si="20"/>
        <v>1538</v>
      </c>
    </row>
    <row r="151" spans="1:11">
      <c r="A151" t="s">
        <v>177</v>
      </c>
      <c r="B151" s="2" t="s">
        <v>33</v>
      </c>
      <c r="C151" s="2" t="s">
        <v>22</v>
      </c>
      <c r="D151" s="2" t="str" cm="1">
        <f t="array" aca="1" ref="D151" ca="1">INDEX({"Laptop","Smartphone","Headphones","Smartwatch","Tablet","Monitor"}, RANDBETWEEN(1,6))</f>
        <v>Smartwatch</v>
      </c>
      <c r="E151" s="4">
        <f t="shared" ca="1" si="14"/>
        <v>45689</v>
      </c>
      <c r="F151" s="4">
        <f t="shared" ca="1" si="15"/>
        <v>45691</v>
      </c>
      <c r="G151" s="2">
        <f t="shared" ca="1" si="16"/>
        <v>43769</v>
      </c>
      <c r="H151" s="3">
        <f t="shared" ca="1" si="17"/>
        <v>38879</v>
      </c>
      <c r="I151" s="2" t="str">
        <f t="shared" ca="1" si="18"/>
        <v>Delayed</v>
      </c>
      <c r="J151" s="2">
        <f t="shared" ca="1" si="19"/>
        <v>2</v>
      </c>
      <c r="K151" s="3">
        <f t="shared" ca="1" si="20"/>
        <v>-4890</v>
      </c>
    </row>
    <row r="152" spans="1:11">
      <c r="A152" t="s">
        <v>178</v>
      </c>
      <c r="B152" s="2" t="s">
        <v>35</v>
      </c>
      <c r="C152" s="2" t="s">
        <v>25</v>
      </c>
      <c r="D152" s="2" t="str" cm="1">
        <f t="array" aca="1" ref="D152" ca="1">INDEX({"Laptop","Smartphone","Headphones","Smartwatch","Tablet","Monitor"}, RANDBETWEEN(1,6))</f>
        <v>Monitor</v>
      </c>
      <c r="E152" s="4">
        <f t="shared" ca="1" si="14"/>
        <v>45752</v>
      </c>
      <c r="F152" s="4">
        <f t="shared" ca="1" si="15"/>
        <v>45760</v>
      </c>
      <c r="G152" s="2">
        <f t="shared" ca="1" si="16"/>
        <v>105309</v>
      </c>
      <c r="H152" s="3">
        <f t="shared" ca="1" si="17"/>
        <v>102738</v>
      </c>
      <c r="I152" s="2" t="str">
        <f t="shared" ca="1" si="18"/>
        <v>Delayed</v>
      </c>
      <c r="J152" s="2">
        <f t="shared" ca="1" si="19"/>
        <v>8</v>
      </c>
      <c r="K152" s="3">
        <f t="shared" ca="1" si="20"/>
        <v>-2571</v>
      </c>
    </row>
    <row r="153" spans="1:11">
      <c r="A153" t="s">
        <v>179</v>
      </c>
      <c r="B153" s="2" t="s">
        <v>37</v>
      </c>
      <c r="C153" s="2" t="s">
        <v>28</v>
      </c>
      <c r="D153" s="2" t="str" cm="1">
        <f t="array" aca="1" ref="D153" ca="1">INDEX({"Laptop","Smartphone","Headphones","Smartwatch","Tablet","Monitor"}, RANDBETWEEN(1,6))</f>
        <v>Laptop</v>
      </c>
      <c r="E153" s="4">
        <f t="shared" ca="1" si="14"/>
        <v>45801</v>
      </c>
      <c r="F153" s="4">
        <f t="shared" ca="1" si="15"/>
        <v>45809</v>
      </c>
      <c r="G153" s="2">
        <f t="shared" ca="1" si="16"/>
        <v>51896</v>
      </c>
      <c r="H153" s="3">
        <f t="shared" ca="1" si="17"/>
        <v>46898</v>
      </c>
      <c r="I153" s="2" t="str">
        <f t="shared" ca="1" si="18"/>
        <v>Delayed</v>
      </c>
      <c r="J153" s="2">
        <f t="shared" ca="1" si="19"/>
        <v>8</v>
      </c>
      <c r="K153" s="3">
        <f t="shared" ca="1" si="20"/>
        <v>-4998</v>
      </c>
    </row>
    <row r="154" spans="1:11">
      <c r="A154" t="s">
        <v>180</v>
      </c>
      <c r="B154" s="2" t="s">
        <v>12</v>
      </c>
      <c r="C154" s="2" t="s">
        <v>31</v>
      </c>
      <c r="D154" s="2" t="str" cm="1">
        <f t="array" aca="1" ref="D154" ca="1">INDEX({"Laptop","Smartphone","Headphones","Smartwatch","Tablet","Monitor"}, RANDBETWEEN(1,6))</f>
        <v>Monitor</v>
      </c>
      <c r="E154" s="4">
        <f t="shared" ca="1" si="14"/>
        <v>45775</v>
      </c>
      <c r="F154" s="4">
        <f t="shared" ca="1" si="15"/>
        <v>45779</v>
      </c>
      <c r="G154" s="2">
        <f t="shared" ca="1" si="16"/>
        <v>52233</v>
      </c>
      <c r="H154" s="3">
        <f t="shared" ca="1" si="17"/>
        <v>49477</v>
      </c>
      <c r="I154" s="2" t="str">
        <f t="shared" ca="1" si="18"/>
        <v>Delayed</v>
      </c>
      <c r="J154" s="2">
        <f t="shared" ca="1" si="19"/>
        <v>4</v>
      </c>
      <c r="K154" s="3">
        <f t="shared" ca="1" si="20"/>
        <v>-2756</v>
      </c>
    </row>
    <row r="155" spans="1:11">
      <c r="A155" t="s">
        <v>181</v>
      </c>
      <c r="B155" s="2" t="s">
        <v>24</v>
      </c>
      <c r="C155" s="2" t="s">
        <v>31</v>
      </c>
      <c r="D155" s="2" t="str" cm="1">
        <f t="array" aca="1" ref="D155" ca="1">INDEX({"Laptop","Smartphone","Headphones","Smartwatch","Tablet","Monitor"}, RANDBETWEEN(1,6))</f>
        <v>Headphones</v>
      </c>
      <c r="E155" s="4">
        <f t="shared" ca="1" si="14"/>
        <v>45818</v>
      </c>
      <c r="F155" s="4">
        <f t="shared" ca="1" si="15"/>
        <v>45820</v>
      </c>
      <c r="G155" s="2">
        <f t="shared" ca="1" si="16"/>
        <v>81479</v>
      </c>
      <c r="H155" s="3">
        <f t="shared" ca="1" si="17"/>
        <v>95546</v>
      </c>
      <c r="I155" s="2" t="str">
        <f t="shared" ca="1" si="18"/>
        <v>Delayed</v>
      </c>
      <c r="J155" s="2">
        <f t="shared" ca="1" si="19"/>
        <v>2</v>
      </c>
      <c r="K155" s="3">
        <f t="shared" ca="1" si="20"/>
        <v>14067</v>
      </c>
    </row>
    <row r="156" spans="1:11">
      <c r="A156" t="s">
        <v>182</v>
      </c>
      <c r="B156" s="2" t="s">
        <v>27</v>
      </c>
      <c r="C156" s="2" t="s">
        <v>16</v>
      </c>
      <c r="D156" s="2" t="str" cm="1">
        <f t="array" aca="1" ref="D156" ca="1">INDEX({"Laptop","Smartphone","Headphones","Smartwatch","Tablet","Monitor"}, RANDBETWEEN(1,6))</f>
        <v>Monitor</v>
      </c>
      <c r="E156" s="4">
        <f t="shared" ca="1" si="14"/>
        <v>45727</v>
      </c>
      <c r="F156" s="4">
        <f t="shared" ca="1" si="15"/>
        <v>45737</v>
      </c>
      <c r="G156" s="2">
        <f t="shared" ca="1" si="16"/>
        <v>52968</v>
      </c>
      <c r="H156" s="3">
        <f t="shared" ca="1" si="17"/>
        <v>53696</v>
      </c>
      <c r="I156" s="2" t="str">
        <f t="shared" ca="1" si="18"/>
        <v>Delayed</v>
      </c>
      <c r="J156" s="2">
        <f t="shared" ca="1" si="19"/>
        <v>10</v>
      </c>
      <c r="K156" s="3">
        <f t="shared" ca="1" si="20"/>
        <v>728</v>
      </c>
    </row>
    <row r="157" spans="1:11">
      <c r="A157" t="s">
        <v>183</v>
      </c>
      <c r="B157" s="2" t="s">
        <v>30</v>
      </c>
      <c r="C157" s="2" t="s">
        <v>19</v>
      </c>
      <c r="D157" s="2" t="str" cm="1">
        <f t="array" aca="1" ref="D157" ca="1">INDEX({"Laptop","Smartphone","Headphones","Smartwatch","Tablet","Monitor"}, RANDBETWEEN(1,6))</f>
        <v>Tablet</v>
      </c>
      <c r="E157" s="4">
        <f t="shared" ca="1" si="14"/>
        <v>45689</v>
      </c>
      <c r="F157" s="4">
        <f t="shared" ca="1" si="15"/>
        <v>45696</v>
      </c>
      <c r="G157" s="2">
        <f t="shared" ca="1" si="16"/>
        <v>51741</v>
      </c>
      <c r="H157" s="3">
        <f t="shared" ca="1" si="17"/>
        <v>61443</v>
      </c>
      <c r="I157" s="2" t="str">
        <f t="shared" ca="1" si="18"/>
        <v>Delayed</v>
      </c>
      <c r="J157" s="2">
        <f t="shared" ca="1" si="19"/>
        <v>7</v>
      </c>
      <c r="K157" s="3">
        <f t="shared" ca="1" si="20"/>
        <v>9702</v>
      </c>
    </row>
    <row r="158" spans="1:11">
      <c r="A158" t="s">
        <v>184</v>
      </c>
      <c r="B158" s="2" t="s">
        <v>33</v>
      </c>
      <c r="C158" s="2" t="s">
        <v>22</v>
      </c>
      <c r="D158" s="2" t="str" cm="1">
        <f t="array" aca="1" ref="D158" ca="1">INDEX({"Laptop","Smartphone","Headphones","Smartwatch","Tablet","Monitor"}, RANDBETWEEN(1,6))</f>
        <v>Laptop</v>
      </c>
      <c r="E158" s="4">
        <f t="shared" ca="1" si="14"/>
        <v>45675</v>
      </c>
      <c r="F158" s="4">
        <f t="shared" ca="1" si="15"/>
        <v>45680</v>
      </c>
      <c r="G158" s="2">
        <f t="shared" ca="1" si="16"/>
        <v>92625</v>
      </c>
      <c r="H158" s="3">
        <f t="shared" ca="1" si="17"/>
        <v>99131</v>
      </c>
      <c r="I158" s="2" t="str">
        <f t="shared" ca="1" si="18"/>
        <v>Delayed</v>
      </c>
      <c r="J158" s="2">
        <f t="shared" ca="1" si="19"/>
        <v>5</v>
      </c>
      <c r="K158" s="3">
        <f t="shared" ca="1" si="20"/>
        <v>6506</v>
      </c>
    </row>
    <row r="159" spans="1:11">
      <c r="A159" t="s">
        <v>185</v>
      </c>
      <c r="B159" s="2" t="s">
        <v>35</v>
      </c>
      <c r="C159" s="2" t="s">
        <v>25</v>
      </c>
      <c r="D159" s="2" t="str" cm="1">
        <f t="array" aca="1" ref="D159" ca="1">INDEX({"Laptop","Smartphone","Headphones","Smartwatch","Tablet","Monitor"}, RANDBETWEEN(1,6))</f>
        <v>Monitor</v>
      </c>
      <c r="E159" s="4">
        <f t="shared" ca="1" si="14"/>
        <v>45709</v>
      </c>
      <c r="F159" s="4">
        <f t="shared" ca="1" si="15"/>
        <v>45721</v>
      </c>
      <c r="G159" s="2">
        <f t="shared" ca="1" si="16"/>
        <v>43446</v>
      </c>
      <c r="H159" s="3">
        <f t="shared" ca="1" si="17"/>
        <v>51166</v>
      </c>
      <c r="I159" s="2" t="str">
        <f t="shared" ca="1" si="18"/>
        <v>Delayed</v>
      </c>
      <c r="J159" s="2">
        <f t="shared" ca="1" si="19"/>
        <v>12</v>
      </c>
      <c r="K159" s="3">
        <f t="shared" ca="1" si="20"/>
        <v>7720</v>
      </c>
    </row>
    <row r="160" spans="1:11">
      <c r="A160" t="s">
        <v>186</v>
      </c>
      <c r="B160" s="2" t="s">
        <v>37</v>
      </c>
      <c r="C160" s="2" t="s">
        <v>28</v>
      </c>
      <c r="D160" s="2" t="str" cm="1">
        <f t="array" aca="1" ref="D160" ca="1">INDEX({"Laptop","Smartphone","Headphones","Smartwatch","Tablet","Monitor"}, RANDBETWEEN(1,6))</f>
        <v>Smartwatch</v>
      </c>
      <c r="E160" s="4">
        <f t="shared" ca="1" si="14"/>
        <v>45744</v>
      </c>
      <c r="F160" s="4">
        <f t="shared" ca="1" si="15"/>
        <v>45750</v>
      </c>
      <c r="G160" s="2">
        <f t="shared" ca="1" si="16"/>
        <v>77807</v>
      </c>
      <c r="H160" s="3">
        <f t="shared" ca="1" si="17"/>
        <v>85070</v>
      </c>
      <c r="I160" s="2" t="str">
        <f t="shared" ca="1" si="18"/>
        <v>Delayed</v>
      </c>
      <c r="J160" s="2">
        <f t="shared" ca="1" si="19"/>
        <v>6</v>
      </c>
      <c r="K160" s="3">
        <f t="shared" ca="1" si="20"/>
        <v>7263</v>
      </c>
    </row>
    <row r="161" spans="1:11">
      <c r="A161" t="s">
        <v>187</v>
      </c>
      <c r="B161" s="2" t="s">
        <v>12</v>
      </c>
      <c r="C161" s="2" t="s">
        <v>31</v>
      </c>
      <c r="D161" s="2" t="str" cm="1">
        <f t="array" aca="1" ref="D161" ca="1">INDEX({"Laptop","Smartphone","Headphones","Smartwatch","Tablet","Monitor"}, RANDBETWEEN(1,6))</f>
        <v>Smartphone</v>
      </c>
      <c r="E161" s="4">
        <f t="shared" ca="1" si="14"/>
        <v>45696</v>
      </c>
      <c r="F161" s="4">
        <f t="shared" ca="1" si="15"/>
        <v>45700</v>
      </c>
      <c r="G161" s="2">
        <f t="shared" ca="1" si="16"/>
        <v>117228</v>
      </c>
      <c r="H161" s="3">
        <f t="shared" ca="1" si="17"/>
        <v>117421</v>
      </c>
      <c r="I161" s="2" t="str">
        <f t="shared" ca="1" si="18"/>
        <v>Delayed</v>
      </c>
      <c r="J161" s="2">
        <f t="shared" ca="1" si="19"/>
        <v>4</v>
      </c>
      <c r="K161" s="3">
        <f t="shared" ca="1" si="20"/>
        <v>193</v>
      </c>
    </row>
    <row r="162" spans="1:11">
      <c r="A162" t="s">
        <v>188</v>
      </c>
      <c r="B162" s="2" t="s">
        <v>24</v>
      </c>
      <c r="C162" s="2" t="s">
        <v>31</v>
      </c>
      <c r="D162" s="2" t="str" cm="1">
        <f t="array" aca="1" ref="D162" ca="1">INDEX({"Laptop","Smartphone","Headphones","Smartwatch","Tablet","Monitor"}, RANDBETWEEN(1,6))</f>
        <v>Smartwatch</v>
      </c>
      <c r="E162" s="4">
        <f t="shared" ca="1" si="14"/>
        <v>45784</v>
      </c>
      <c r="F162" s="4">
        <f t="shared" ca="1" si="15"/>
        <v>45798</v>
      </c>
      <c r="G162" s="2">
        <f t="shared" ca="1" si="16"/>
        <v>85190</v>
      </c>
      <c r="H162" s="3">
        <f t="shared" ca="1" si="17"/>
        <v>89623</v>
      </c>
      <c r="I162" s="2" t="str">
        <f t="shared" ca="1" si="18"/>
        <v>Delayed</v>
      </c>
      <c r="J162" s="2">
        <f t="shared" ca="1" si="19"/>
        <v>14</v>
      </c>
      <c r="K162" s="3">
        <f t="shared" ca="1" si="20"/>
        <v>4433</v>
      </c>
    </row>
    <row r="163" spans="1:11">
      <c r="A163" t="s">
        <v>189</v>
      </c>
      <c r="B163" s="2" t="s">
        <v>27</v>
      </c>
      <c r="C163" s="2" t="s">
        <v>16</v>
      </c>
      <c r="D163" s="2" t="str" cm="1">
        <f t="array" aca="1" ref="D163" ca="1">INDEX({"Laptop","Smartphone","Headphones","Smartwatch","Tablet","Monitor"}, RANDBETWEEN(1,6))</f>
        <v>Monitor</v>
      </c>
      <c r="E163" s="4">
        <f t="shared" ca="1" si="14"/>
        <v>45769</v>
      </c>
      <c r="F163" s="4">
        <f t="shared" ca="1" si="15"/>
        <v>45772</v>
      </c>
      <c r="G163" s="2">
        <f t="shared" ca="1" si="16"/>
        <v>115382</v>
      </c>
      <c r="H163" s="3">
        <f t="shared" ca="1" si="17"/>
        <v>120505</v>
      </c>
      <c r="I163" s="2" t="str">
        <f t="shared" ca="1" si="18"/>
        <v>Delayed</v>
      </c>
      <c r="J163" s="2">
        <f t="shared" ca="1" si="19"/>
        <v>3</v>
      </c>
      <c r="K163" s="3">
        <f t="shared" ca="1" si="20"/>
        <v>5123</v>
      </c>
    </row>
    <row r="164" spans="1:11">
      <c r="A164" t="s">
        <v>190</v>
      </c>
      <c r="B164" s="2" t="s">
        <v>30</v>
      </c>
      <c r="C164" s="2" t="s">
        <v>19</v>
      </c>
      <c r="D164" s="2" t="str" cm="1">
        <f t="array" aca="1" ref="D164" ca="1">INDEX({"Laptop","Smartphone","Headphones","Smartwatch","Tablet","Monitor"}, RANDBETWEEN(1,6))</f>
        <v>Monitor</v>
      </c>
      <c r="E164" s="4">
        <f t="shared" ca="1" si="14"/>
        <v>45666</v>
      </c>
      <c r="F164" s="4">
        <f t="shared" ca="1" si="15"/>
        <v>45670</v>
      </c>
      <c r="G164" s="2">
        <f t="shared" ca="1" si="16"/>
        <v>115360</v>
      </c>
      <c r="H164" s="3">
        <f t="shared" ca="1" si="17"/>
        <v>111996</v>
      </c>
      <c r="I164" s="2" t="str">
        <f t="shared" ca="1" si="18"/>
        <v>Delayed</v>
      </c>
      <c r="J164" s="2">
        <f t="shared" ca="1" si="19"/>
        <v>4</v>
      </c>
      <c r="K164" s="3">
        <f t="shared" ca="1" si="20"/>
        <v>-3364</v>
      </c>
    </row>
    <row r="165" spans="1:11">
      <c r="A165" t="s">
        <v>191</v>
      </c>
      <c r="B165" s="2" t="s">
        <v>33</v>
      </c>
      <c r="C165" s="2" t="s">
        <v>22</v>
      </c>
      <c r="D165" s="2" t="str" cm="1">
        <f t="array" aca="1" ref="D165" ca="1">INDEX({"Laptop","Smartphone","Headphones","Smartwatch","Tablet","Monitor"}, RANDBETWEEN(1,6))</f>
        <v>Headphones</v>
      </c>
      <c r="E165" s="4">
        <f t="shared" ca="1" si="14"/>
        <v>45681</v>
      </c>
      <c r="F165" s="4">
        <f t="shared" ca="1" si="15"/>
        <v>45690</v>
      </c>
      <c r="G165" s="2">
        <f t="shared" ca="1" si="16"/>
        <v>60453</v>
      </c>
      <c r="H165" s="3">
        <f t="shared" ca="1" si="17"/>
        <v>75177</v>
      </c>
      <c r="I165" s="2" t="str">
        <f t="shared" ca="1" si="18"/>
        <v>Delayed</v>
      </c>
      <c r="J165" s="2">
        <f t="shared" ca="1" si="19"/>
        <v>9</v>
      </c>
      <c r="K165" s="3">
        <f t="shared" ca="1" si="20"/>
        <v>14724</v>
      </c>
    </row>
    <row r="166" spans="1:11">
      <c r="A166" t="s">
        <v>192</v>
      </c>
      <c r="B166" s="2" t="s">
        <v>35</v>
      </c>
      <c r="C166" s="2" t="s">
        <v>25</v>
      </c>
      <c r="D166" s="2" t="str" cm="1">
        <f t="array" aca="1" ref="D166" ca="1">INDEX({"Laptop","Smartphone","Headphones","Smartwatch","Tablet","Monitor"}, RANDBETWEEN(1,6))</f>
        <v>Tablet</v>
      </c>
      <c r="E166" s="4">
        <f t="shared" ca="1" si="14"/>
        <v>45680</v>
      </c>
      <c r="F166" s="4">
        <f t="shared" ca="1" si="15"/>
        <v>45683</v>
      </c>
      <c r="G166" s="2">
        <f t="shared" ca="1" si="16"/>
        <v>73692</v>
      </c>
      <c r="H166" s="3">
        <f t="shared" ca="1" si="17"/>
        <v>77495</v>
      </c>
      <c r="I166" s="2" t="str">
        <f t="shared" ca="1" si="18"/>
        <v>Delayed</v>
      </c>
      <c r="J166" s="2">
        <f t="shared" ca="1" si="19"/>
        <v>3</v>
      </c>
      <c r="K166" s="3">
        <f t="shared" ca="1" si="20"/>
        <v>3803</v>
      </c>
    </row>
    <row r="167" spans="1:11">
      <c r="A167" t="s">
        <v>193</v>
      </c>
      <c r="B167" s="2" t="s">
        <v>37</v>
      </c>
      <c r="C167" s="2" t="s">
        <v>28</v>
      </c>
      <c r="D167" s="2" t="str" cm="1">
        <f t="array" aca="1" ref="D167" ca="1">INDEX({"Laptop","Smartphone","Headphones","Smartwatch","Tablet","Monitor"}, RANDBETWEEN(1,6))</f>
        <v>Monitor</v>
      </c>
      <c r="E167" s="4">
        <f t="shared" ca="1" si="14"/>
        <v>45783</v>
      </c>
      <c r="F167" s="4">
        <f t="shared" ca="1" si="15"/>
        <v>45794</v>
      </c>
      <c r="G167" s="2">
        <f t="shared" ca="1" si="16"/>
        <v>51069</v>
      </c>
      <c r="H167" s="3">
        <f t="shared" ca="1" si="17"/>
        <v>65156</v>
      </c>
      <c r="I167" s="2" t="str">
        <f t="shared" ca="1" si="18"/>
        <v>Delayed</v>
      </c>
      <c r="J167" s="2">
        <f t="shared" ca="1" si="19"/>
        <v>11</v>
      </c>
      <c r="K167" s="3">
        <f t="shared" ca="1" si="20"/>
        <v>14087</v>
      </c>
    </row>
    <row r="168" spans="1:11">
      <c r="A168" t="s">
        <v>194</v>
      </c>
      <c r="B168" s="2" t="s">
        <v>24</v>
      </c>
      <c r="C168" s="2" t="s">
        <v>31</v>
      </c>
      <c r="D168" s="2" t="str" cm="1">
        <f t="array" aca="1" ref="D168" ca="1">INDEX({"Laptop","Smartphone","Headphones","Smartwatch","Tablet","Monitor"}, RANDBETWEEN(1,6))</f>
        <v>Smartwatch</v>
      </c>
      <c r="E168" s="4">
        <f t="shared" ca="1" si="14"/>
        <v>45736</v>
      </c>
      <c r="F168" s="4">
        <f t="shared" ca="1" si="15"/>
        <v>45749</v>
      </c>
      <c r="G168" s="2">
        <f t="shared" ca="1" si="16"/>
        <v>80926</v>
      </c>
      <c r="H168" s="3">
        <f t="shared" ca="1" si="17"/>
        <v>89177</v>
      </c>
      <c r="I168" s="2" t="str">
        <f t="shared" ca="1" si="18"/>
        <v>Delayed</v>
      </c>
      <c r="J168" s="2">
        <f t="shared" ca="1" si="19"/>
        <v>13</v>
      </c>
      <c r="K168" s="3">
        <f t="shared" ca="1" si="20"/>
        <v>8251</v>
      </c>
    </row>
    <row r="169" spans="1:11">
      <c r="A169" t="s">
        <v>195</v>
      </c>
      <c r="B169" s="2" t="s">
        <v>27</v>
      </c>
      <c r="C169" s="2" t="s">
        <v>19</v>
      </c>
      <c r="D169" s="2" t="str" cm="1">
        <f t="array" aca="1" ref="D169" ca="1">INDEX({"Laptop","Smartphone","Headphones","Smartwatch","Tablet","Monitor"}, RANDBETWEEN(1,6))</f>
        <v>Smartwatch</v>
      </c>
      <c r="E169" s="4">
        <f t="shared" ca="1" si="14"/>
        <v>45666</v>
      </c>
      <c r="F169" s="4">
        <f t="shared" ca="1" si="15"/>
        <v>45681</v>
      </c>
      <c r="G169" s="2">
        <f t="shared" ca="1" si="16"/>
        <v>77439</v>
      </c>
      <c r="H169" s="3">
        <f t="shared" ca="1" si="17"/>
        <v>77786</v>
      </c>
      <c r="I169" s="2" t="str">
        <f t="shared" ca="1" si="18"/>
        <v>Delayed</v>
      </c>
      <c r="J169" s="2">
        <f t="shared" ca="1" si="19"/>
        <v>15</v>
      </c>
      <c r="K169" s="3">
        <f t="shared" ca="1" si="20"/>
        <v>347</v>
      </c>
    </row>
    <row r="170" spans="1:11">
      <c r="A170" t="s">
        <v>196</v>
      </c>
      <c r="B170" s="2" t="s">
        <v>30</v>
      </c>
      <c r="C170" s="2" t="s">
        <v>22</v>
      </c>
      <c r="D170" s="2" t="str" cm="1">
        <f t="array" aca="1" ref="D170" ca="1">INDEX({"Laptop","Smartphone","Headphones","Smartwatch","Tablet","Monitor"}, RANDBETWEEN(1,6))</f>
        <v>Smartphone</v>
      </c>
      <c r="E170" s="4">
        <f t="shared" ca="1" si="14"/>
        <v>45784</v>
      </c>
      <c r="F170" s="4">
        <f t="shared" ca="1" si="15"/>
        <v>45788</v>
      </c>
      <c r="G170" s="2">
        <f t="shared" ca="1" si="16"/>
        <v>92508</v>
      </c>
      <c r="H170" s="3">
        <f t="shared" ca="1" si="17"/>
        <v>90404</v>
      </c>
      <c r="I170" s="2" t="str">
        <f t="shared" ca="1" si="18"/>
        <v>Delayed</v>
      </c>
      <c r="J170" s="2">
        <f t="shared" ca="1" si="19"/>
        <v>4</v>
      </c>
      <c r="K170" s="3">
        <f t="shared" ca="1" si="20"/>
        <v>-2104</v>
      </c>
    </row>
    <row r="171" spans="1:11">
      <c r="A171" t="s">
        <v>197</v>
      </c>
      <c r="B171" s="2" t="s">
        <v>33</v>
      </c>
      <c r="C171" s="2" t="s">
        <v>19</v>
      </c>
      <c r="D171" s="2" t="str" cm="1">
        <f t="array" aca="1" ref="D171" ca="1">INDEX({"Laptop","Smartphone","Headphones","Smartwatch","Tablet","Monitor"}, RANDBETWEEN(1,6))</f>
        <v>Monitor</v>
      </c>
      <c r="E171" s="4">
        <f t="shared" ca="1" si="14"/>
        <v>45714</v>
      </c>
      <c r="F171" s="4">
        <f t="shared" ca="1" si="15"/>
        <v>45717</v>
      </c>
      <c r="G171" s="2">
        <f t="shared" ca="1" si="16"/>
        <v>94847</v>
      </c>
      <c r="H171" s="3">
        <f t="shared" ca="1" si="17"/>
        <v>105834</v>
      </c>
      <c r="I171" s="2" t="str">
        <f t="shared" ca="1" si="18"/>
        <v>Delayed</v>
      </c>
      <c r="J171" s="2">
        <f t="shared" ca="1" si="19"/>
        <v>3</v>
      </c>
      <c r="K171" s="3">
        <f t="shared" ca="1" si="20"/>
        <v>10987</v>
      </c>
    </row>
    <row r="172" spans="1:11">
      <c r="A172" t="s">
        <v>198</v>
      </c>
      <c r="B172" s="2" t="s">
        <v>35</v>
      </c>
      <c r="C172" s="2" t="s">
        <v>22</v>
      </c>
      <c r="D172" s="2" t="str" cm="1">
        <f t="array" aca="1" ref="D172" ca="1">INDEX({"Laptop","Smartphone","Headphones","Smartwatch","Tablet","Monitor"}, RANDBETWEEN(1,6))</f>
        <v>Smartwatch</v>
      </c>
      <c r="E172" s="4">
        <f t="shared" ca="1" si="14"/>
        <v>45795</v>
      </c>
      <c r="F172" s="4">
        <f t="shared" ca="1" si="15"/>
        <v>45809</v>
      </c>
      <c r="G172" s="2">
        <f t="shared" ca="1" si="16"/>
        <v>40878</v>
      </c>
      <c r="H172" s="3">
        <f t="shared" ca="1" si="17"/>
        <v>52989</v>
      </c>
      <c r="I172" s="2" t="str">
        <f t="shared" ca="1" si="18"/>
        <v>Delayed</v>
      </c>
      <c r="J172" s="2">
        <f t="shared" ca="1" si="19"/>
        <v>14</v>
      </c>
      <c r="K172" s="3">
        <f t="shared" ca="1" si="20"/>
        <v>12111</v>
      </c>
    </row>
    <row r="173" spans="1:11">
      <c r="A173" t="s">
        <v>199</v>
      </c>
      <c r="B173" s="2" t="s">
        <v>37</v>
      </c>
      <c r="C173" s="2" t="s">
        <v>25</v>
      </c>
      <c r="D173" s="2" t="str" cm="1">
        <f t="array" aca="1" ref="D173" ca="1">INDEX({"Laptop","Smartphone","Headphones","Smartwatch","Tablet","Monitor"}, RANDBETWEEN(1,6))</f>
        <v>Monitor</v>
      </c>
      <c r="E173" s="4">
        <f t="shared" ca="1" si="14"/>
        <v>45830</v>
      </c>
      <c r="F173" s="4">
        <f t="shared" ca="1" si="15"/>
        <v>45840</v>
      </c>
      <c r="G173" s="2">
        <f t="shared" ca="1" si="16"/>
        <v>48160</v>
      </c>
      <c r="H173" s="3">
        <f t="shared" ca="1" si="17"/>
        <v>44026</v>
      </c>
      <c r="I173" s="2" t="str">
        <f t="shared" ca="1" si="18"/>
        <v>Delayed</v>
      </c>
      <c r="J173" s="2">
        <f t="shared" ca="1" si="19"/>
        <v>10</v>
      </c>
      <c r="K173" s="3">
        <f t="shared" ca="1" si="20"/>
        <v>-4134</v>
      </c>
    </row>
    <row r="174" spans="1:11">
      <c r="A174" t="s">
        <v>200</v>
      </c>
      <c r="B174" s="2" t="s">
        <v>12</v>
      </c>
      <c r="C174" s="2" t="s">
        <v>28</v>
      </c>
      <c r="D174" s="2" t="str" cm="1">
        <f t="array" aca="1" ref="D174" ca="1">INDEX({"Laptop","Smartphone","Headphones","Smartwatch","Tablet","Monitor"}, RANDBETWEEN(1,6))</f>
        <v>Smartwatch</v>
      </c>
      <c r="E174" s="4">
        <f t="shared" ca="1" si="14"/>
        <v>45666</v>
      </c>
      <c r="F174" s="4">
        <f t="shared" ca="1" si="15"/>
        <v>45672</v>
      </c>
      <c r="G174" s="2">
        <f t="shared" ca="1" si="16"/>
        <v>95097</v>
      </c>
      <c r="H174" s="3">
        <f t="shared" ca="1" si="17"/>
        <v>108487</v>
      </c>
      <c r="I174" s="2" t="str">
        <f t="shared" ca="1" si="18"/>
        <v>Delayed</v>
      </c>
      <c r="J174" s="2">
        <f t="shared" ca="1" si="19"/>
        <v>6</v>
      </c>
      <c r="K174" s="3">
        <f t="shared" ca="1" si="20"/>
        <v>13390</v>
      </c>
    </row>
    <row r="175" spans="1:11">
      <c r="A175" t="s">
        <v>201</v>
      </c>
      <c r="B175" s="2" t="s">
        <v>24</v>
      </c>
      <c r="C175" s="2" t="s">
        <v>31</v>
      </c>
      <c r="D175" s="2" t="str" cm="1">
        <f t="array" aca="1" ref="D175" ca="1">INDEX({"Laptop","Smartphone","Headphones","Smartwatch","Tablet","Monitor"}, RANDBETWEEN(1,6))</f>
        <v>Tablet</v>
      </c>
      <c r="E175" s="4">
        <f t="shared" ca="1" si="14"/>
        <v>45665</v>
      </c>
      <c r="F175" s="4">
        <f t="shared" ca="1" si="15"/>
        <v>45671</v>
      </c>
      <c r="G175" s="2">
        <f t="shared" ca="1" si="16"/>
        <v>71631</v>
      </c>
      <c r="H175" s="3">
        <f t="shared" ca="1" si="17"/>
        <v>85121</v>
      </c>
      <c r="I175" s="2" t="str">
        <f t="shared" ca="1" si="18"/>
        <v>Delayed</v>
      </c>
      <c r="J175" s="2">
        <f t="shared" ca="1" si="19"/>
        <v>6</v>
      </c>
      <c r="K175" s="3">
        <f t="shared" ca="1" si="20"/>
        <v>13490</v>
      </c>
    </row>
    <row r="176" spans="1:11">
      <c r="A176" t="s">
        <v>202</v>
      </c>
      <c r="B176" s="2" t="s">
        <v>27</v>
      </c>
      <c r="C176" s="2" t="s">
        <v>31</v>
      </c>
      <c r="D176" s="2" t="str" cm="1">
        <f t="array" aca="1" ref="D176" ca="1">INDEX({"Laptop","Smartphone","Headphones","Smartwatch","Tablet","Monitor"}, RANDBETWEEN(1,6))</f>
        <v>Laptop</v>
      </c>
      <c r="E176" s="4">
        <f t="shared" ca="1" si="14"/>
        <v>45686</v>
      </c>
      <c r="F176" s="4">
        <f t="shared" ca="1" si="15"/>
        <v>45697</v>
      </c>
      <c r="G176" s="2">
        <f t="shared" ca="1" si="16"/>
        <v>102296</v>
      </c>
      <c r="H176" s="3">
        <f t="shared" ca="1" si="17"/>
        <v>113411</v>
      </c>
      <c r="I176" s="2" t="str">
        <f t="shared" ca="1" si="18"/>
        <v>Delayed</v>
      </c>
      <c r="J176" s="2">
        <f t="shared" ca="1" si="19"/>
        <v>11</v>
      </c>
      <c r="K176" s="3">
        <f t="shared" ca="1" si="20"/>
        <v>11115</v>
      </c>
    </row>
    <row r="177" spans="1:11">
      <c r="A177" t="s">
        <v>203</v>
      </c>
      <c r="B177" s="2" t="s">
        <v>30</v>
      </c>
      <c r="C177" s="2" t="s">
        <v>16</v>
      </c>
      <c r="D177" s="2" t="str" cm="1">
        <f t="array" aca="1" ref="D177" ca="1">INDEX({"Laptop","Smartphone","Headphones","Smartwatch","Tablet","Monitor"}, RANDBETWEEN(1,6))</f>
        <v>Monitor</v>
      </c>
      <c r="E177" s="4">
        <f t="shared" ca="1" si="14"/>
        <v>45730</v>
      </c>
      <c r="F177" s="4">
        <f t="shared" ca="1" si="15"/>
        <v>45737</v>
      </c>
      <c r="G177" s="2">
        <f t="shared" ca="1" si="16"/>
        <v>69199</v>
      </c>
      <c r="H177" s="3">
        <f t="shared" ca="1" si="17"/>
        <v>69318</v>
      </c>
      <c r="I177" s="2" t="str">
        <f t="shared" ca="1" si="18"/>
        <v>Delayed</v>
      </c>
      <c r="J177" s="2">
        <f t="shared" ca="1" si="19"/>
        <v>7</v>
      </c>
      <c r="K177" s="3">
        <f t="shared" ca="1" si="20"/>
        <v>119</v>
      </c>
    </row>
    <row r="178" spans="1:11">
      <c r="A178" t="s">
        <v>204</v>
      </c>
      <c r="B178" s="2" t="s">
        <v>33</v>
      </c>
      <c r="C178" s="2" t="s">
        <v>19</v>
      </c>
      <c r="D178" s="2" t="str" cm="1">
        <f t="array" aca="1" ref="D178" ca="1">INDEX({"Laptop","Smartphone","Headphones","Smartwatch","Tablet","Monitor"}, RANDBETWEEN(1,6))</f>
        <v>Monitor</v>
      </c>
      <c r="E178" s="4">
        <f t="shared" ca="1" si="14"/>
        <v>45717</v>
      </c>
      <c r="F178" s="4">
        <f t="shared" ca="1" si="15"/>
        <v>45722</v>
      </c>
      <c r="G178" s="2">
        <f t="shared" ca="1" si="16"/>
        <v>56809</v>
      </c>
      <c r="H178" s="3">
        <f t="shared" ca="1" si="17"/>
        <v>65908</v>
      </c>
      <c r="I178" s="2" t="str">
        <f t="shared" ca="1" si="18"/>
        <v>Delayed</v>
      </c>
      <c r="J178" s="2">
        <f t="shared" ca="1" si="19"/>
        <v>5</v>
      </c>
      <c r="K178" s="3">
        <f t="shared" ca="1" si="20"/>
        <v>9099</v>
      </c>
    </row>
    <row r="179" spans="1:11">
      <c r="A179" t="s">
        <v>205</v>
      </c>
      <c r="B179" s="2" t="s">
        <v>35</v>
      </c>
      <c r="C179" s="2" t="s">
        <v>22</v>
      </c>
      <c r="D179" s="2" t="str" cm="1">
        <f t="array" aca="1" ref="D179" ca="1">INDEX({"Laptop","Smartphone","Headphones","Smartwatch","Tablet","Monitor"}, RANDBETWEEN(1,6))</f>
        <v>Smartwatch</v>
      </c>
      <c r="E179" s="4">
        <f t="shared" ca="1" si="14"/>
        <v>45779</v>
      </c>
      <c r="F179" s="4">
        <f t="shared" ca="1" si="15"/>
        <v>45794</v>
      </c>
      <c r="G179" s="2">
        <f t="shared" ca="1" si="16"/>
        <v>51700</v>
      </c>
      <c r="H179" s="3">
        <f t="shared" ca="1" si="17"/>
        <v>66399</v>
      </c>
      <c r="I179" s="2" t="str">
        <f t="shared" ca="1" si="18"/>
        <v>Delayed</v>
      </c>
      <c r="J179" s="2">
        <f t="shared" ca="1" si="19"/>
        <v>15</v>
      </c>
      <c r="K179" s="3">
        <f t="shared" ca="1" si="20"/>
        <v>14699</v>
      </c>
    </row>
    <row r="180" spans="1:11">
      <c r="A180" t="s">
        <v>206</v>
      </c>
      <c r="B180" s="2" t="s">
        <v>37</v>
      </c>
      <c r="C180" s="2" t="s">
        <v>25</v>
      </c>
      <c r="D180" s="2" t="str" cm="1">
        <f t="array" aca="1" ref="D180" ca="1">INDEX({"Laptop","Smartphone","Headphones","Smartwatch","Tablet","Monitor"}, RANDBETWEEN(1,6))</f>
        <v>Monitor</v>
      </c>
      <c r="E180" s="4">
        <f t="shared" ca="1" si="14"/>
        <v>45736</v>
      </c>
      <c r="F180" s="4">
        <f t="shared" ca="1" si="15"/>
        <v>45747</v>
      </c>
      <c r="G180" s="2">
        <f t="shared" ca="1" si="16"/>
        <v>51381</v>
      </c>
      <c r="H180" s="3">
        <f t="shared" ca="1" si="17"/>
        <v>58785</v>
      </c>
      <c r="I180" s="2" t="str">
        <f t="shared" ca="1" si="18"/>
        <v>Delayed</v>
      </c>
      <c r="J180" s="2">
        <f t="shared" ca="1" si="19"/>
        <v>11</v>
      </c>
      <c r="K180" s="3">
        <f t="shared" ca="1" si="20"/>
        <v>7404</v>
      </c>
    </row>
    <row r="181" spans="1:11">
      <c r="A181" t="s">
        <v>207</v>
      </c>
      <c r="B181" s="2" t="s">
        <v>12</v>
      </c>
      <c r="C181" s="2" t="s">
        <v>28</v>
      </c>
      <c r="D181" s="2" t="str" cm="1">
        <f t="array" aca="1" ref="D181" ca="1">INDEX({"Laptop","Smartphone","Headphones","Smartwatch","Tablet","Monitor"}, RANDBETWEEN(1,6))</f>
        <v>Smartphone</v>
      </c>
      <c r="E181" s="4">
        <f t="shared" ca="1" si="14"/>
        <v>45750</v>
      </c>
      <c r="F181" s="4">
        <f t="shared" ca="1" si="15"/>
        <v>45753</v>
      </c>
      <c r="G181" s="2">
        <f t="shared" ca="1" si="16"/>
        <v>74983</v>
      </c>
      <c r="H181" s="3">
        <f t="shared" ca="1" si="17"/>
        <v>70988</v>
      </c>
      <c r="I181" s="2" t="str">
        <f t="shared" ca="1" si="18"/>
        <v>Delayed</v>
      </c>
      <c r="J181" s="2">
        <f t="shared" ca="1" si="19"/>
        <v>3</v>
      </c>
      <c r="K181" s="3">
        <f t="shared" ca="1" si="20"/>
        <v>-3995</v>
      </c>
    </row>
    <row r="182" spans="1:11">
      <c r="A182" t="s">
        <v>208</v>
      </c>
      <c r="B182" s="2" t="s">
        <v>24</v>
      </c>
      <c r="C182" s="2" t="s">
        <v>31</v>
      </c>
      <c r="D182" s="2" t="str" cm="1">
        <f t="array" aca="1" ref="D182" ca="1">INDEX({"Laptop","Smartphone","Headphones","Smartwatch","Tablet","Monitor"}, RANDBETWEEN(1,6))</f>
        <v>Smartwatch</v>
      </c>
      <c r="E182" s="4">
        <f t="shared" ca="1" si="14"/>
        <v>45793</v>
      </c>
      <c r="F182" s="4">
        <f t="shared" ca="1" si="15"/>
        <v>45806</v>
      </c>
      <c r="G182" s="2">
        <f t="shared" ca="1" si="16"/>
        <v>82585</v>
      </c>
      <c r="H182" s="3">
        <f t="shared" ca="1" si="17"/>
        <v>79200</v>
      </c>
      <c r="I182" s="2" t="str">
        <f t="shared" ca="1" si="18"/>
        <v>Delayed</v>
      </c>
      <c r="J182" s="2">
        <f t="shared" ca="1" si="19"/>
        <v>13</v>
      </c>
      <c r="K182" s="3">
        <f t="shared" ca="1" si="20"/>
        <v>-3385</v>
      </c>
    </row>
    <row r="183" spans="1:11">
      <c r="A183" t="s">
        <v>209</v>
      </c>
      <c r="B183" s="2" t="s">
        <v>27</v>
      </c>
      <c r="C183" s="2" t="s">
        <v>31</v>
      </c>
      <c r="D183" s="2" t="str" cm="1">
        <f t="array" aca="1" ref="D183" ca="1">INDEX({"Laptop","Smartphone","Headphones","Smartwatch","Tablet","Monitor"}, RANDBETWEEN(1,6))</f>
        <v>Laptop</v>
      </c>
      <c r="E183" s="4">
        <f t="shared" ca="1" si="14"/>
        <v>45708</v>
      </c>
      <c r="F183" s="4">
        <f t="shared" ca="1" si="15"/>
        <v>45722</v>
      </c>
      <c r="G183" s="2">
        <f t="shared" ca="1" si="16"/>
        <v>97858</v>
      </c>
      <c r="H183" s="3">
        <f t="shared" ca="1" si="17"/>
        <v>99297</v>
      </c>
      <c r="I183" s="2" t="str">
        <f t="shared" ca="1" si="18"/>
        <v>Delayed</v>
      </c>
      <c r="J183" s="2">
        <f t="shared" ca="1" si="19"/>
        <v>14</v>
      </c>
      <c r="K183" s="3">
        <f t="shared" ca="1" si="20"/>
        <v>1439</v>
      </c>
    </row>
    <row r="184" spans="1:11">
      <c r="A184" t="s">
        <v>210</v>
      </c>
      <c r="B184" s="2" t="s">
        <v>30</v>
      </c>
      <c r="C184" s="2" t="s">
        <v>16</v>
      </c>
      <c r="D184" s="2" t="str" cm="1">
        <f t="array" aca="1" ref="D184" ca="1">INDEX({"Laptop","Smartphone","Headphones","Smartwatch","Tablet","Monitor"}, RANDBETWEEN(1,6))</f>
        <v>Smartphone</v>
      </c>
      <c r="E184" s="4">
        <f t="shared" ca="1" si="14"/>
        <v>45702</v>
      </c>
      <c r="F184" s="4">
        <f t="shared" ca="1" si="15"/>
        <v>45712</v>
      </c>
      <c r="G184" s="2">
        <f t="shared" ca="1" si="16"/>
        <v>80826</v>
      </c>
      <c r="H184" s="3">
        <f t="shared" ca="1" si="17"/>
        <v>86935</v>
      </c>
      <c r="I184" s="2" t="str">
        <f t="shared" ca="1" si="18"/>
        <v>Delayed</v>
      </c>
      <c r="J184" s="2">
        <f t="shared" ca="1" si="19"/>
        <v>10</v>
      </c>
      <c r="K184" s="3">
        <f t="shared" ca="1" si="20"/>
        <v>6109</v>
      </c>
    </row>
    <row r="185" spans="1:11">
      <c r="A185" t="s">
        <v>211</v>
      </c>
      <c r="B185" s="2" t="s">
        <v>33</v>
      </c>
      <c r="C185" s="2" t="s">
        <v>19</v>
      </c>
      <c r="D185" s="2" t="str" cm="1">
        <f t="array" aca="1" ref="D185" ca="1">INDEX({"Laptop","Smartphone","Headphones","Smartwatch","Tablet","Monitor"}, RANDBETWEEN(1,6))</f>
        <v>Monitor</v>
      </c>
      <c r="E185" s="4">
        <f t="shared" ca="1" si="14"/>
        <v>45689</v>
      </c>
      <c r="F185" s="4">
        <f t="shared" ca="1" si="15"/>
        <v>45700</v>
      </c>
      <c r="G185" s="2">
        <f t="shared" ca="1" si="16"/>
        <v>72908</v>
      </c>
      <c r="H185" s="3">
        <f t="shared" ca="1" si="17"/>
        <v>70658</v>
      </c>
      <c r="I185" s="2" t="str">
        <f t="shared" ca="1" si="18"/>
        <v>Delayed</v>
      </c>
      <c r="J185" s="2">
        <f t="shared" ca="1" si="19"/>
        <v>11</v>
      </c>
      <c r="K185" s="3">
        <f t="shared" ca="1" si="20"/>
        <v>-2250</v>
      </c>
    </row>
    <row r="186" spans="1:11">
      <c r="A186" t="s">
        <v>212</v>
      </c>
      <c r="B186" s="2" t="s">
        <v>35</v>
      </c>
      <c r="C186" s="2" t="s">
        <v>22</v>
      </c>
      <c r="D186" s="2" t="str" cm="1">
        <f t="array" aca="1" ref="D186" ca="1">INDEX({"Laptop","Smartphone","Headphones","Smartwatch","Tablet","Monitor"}, RANDBETWEEN(1,6))</f>
        <v>Monitor</v>
      </c>
      <c r="E186" s="4">
        <f t="shared" ca="1" si="14"/>
        <v>45818</v>
      </c>
      <c r="F186" s="4">
        <f t="shared" ca="1" si="15"/>
        <v>45821</v>
      </c>
      <c r="G186" s="2">
        <f t="shared" ca="1" si="16"/>
        <v>58050</v>
      </c>
      <c r="H186" s="3">
        <f t="shared" ca="1" si="17"/>
        <v>69693</v>
      </c>
      <c r="I186" s="2" t="str">
        <f t="shared" ca="1" si="18"/>
        <v>Delayed</v>
      </c>
      <c r="J186" s="2">
        <f t="shared" ca="1" si="19"/>
        <v>3</v>
      </c>
      <c r="K186" s="3">
        <f t="shared" ca="1" si="20"/>
        <v>11643</v>
      </c>
    </row>
    <row r="187" spans="1:11">
      <c r="A187" t="s">
        <v>213</v>
      </c>
      <c r="B187" s="2" t="s">
        <v>37</v>
      </c>
      <c r="C187" s="2" t="s">
        <v>25</v>
      </c>
      <c r="D187" s="2" t="str" cm="1">
        <f t="array" aca="1" ref="D187" ca="1">INDEX({"Laptop","Smartphone","Headphones","Smartwatch","Tablet","Monitor"}, RANDBETWEEN(1,6))</f>
        <v>Laptop</v>
      </c>
      <c r="E187" s="4">
        <f t="shared" ca="1" si="14"/>
        <v>45692</v>
      </c>
      <c r="F187" s="4">
        <f t="shared" ca="1" si="15"/>
        <v>45700</v>
      </c>
      <c r="G187" s="2">
        <f t="shared" ca="1" si="16"/>
        <v>108797</v>
      </c>
      <c r="H187" s="3">
        <f t="shared" ca="1" si="17"/>
        <v>113737</v>
      </c>
      <c r="I187" s="2" t="str">
        <f t="shared" ca="1" si="18"/>
        <v>Delayed</v>
      </c>
      <c r="J187" s="2">
        <f t="shared" ca="1" si="19"/>
        <v>8</v>
      </c>
      <c r="K187" s="3">
        <f t="shared" ca="1" si="20"/>
        <v>4940</v>
      </c>
    </row>
    <row r="188" spans="1:11">
      <c r="A188" t="s">
        <v>214</v>
      </c>
      <c r="B188" s="2" t="s">
        <v>24</v>
      </c>
      <c r="C188" s="2" t="s">
        <v>28</v>
      </c>
      <c r="D188" s="2" t="str" cm="1">
        <f t="array" aca="1" ref="D188" ca="1">INDEX({"Laptop","Smartphone","Headphones","Smartwatch","Tablet","Monitor"}, RANDBETWEEN(1,6))</f>
        <v>Monitor</v>
      </c>
      <c r="E188" s="4">
        <f t="shared" ca="1" si="14"/>
        <v>45752</v>
      </c>
      <c r="F188" s="4">
        <f t="shared" ca="1" si="15"/>
        <v>45765</v>
      </c>
      <c r="G188" s="2">
        <f t="shared" ca="1" si="16"/>
        <v>74378</v>
      </c>
      <c r="H188" s="3">
        <f t="shared" ca="1" si="17"/>
        <v>84740</v>
      </c>
      <c r="I188" s="2" t="str">
        <f t="shared" ca="1" si="18"/>
        <v>Delayed</v>
      </c>
      <c r="J188" s="2">
        <f t="shared" ca="1" si="19"/>
        <v>13</v>
      </c>
      <c r="K188" s="3">
        <f t="shared" ca="1" si="20"/>
        <v>10362</v>
      </c>
    </row>
    <row r="189" spans="1:11">
      <c r="A189" t="s">
        <v>215</v>
      </c>
      <c r="B189" s="2" t="s">
        <v>24</v>
      </c>
      <c r="C189" s="2" t="s">
        <v>31</v>
      </c>
      <c r="D189" s="2" t="str" cm="1">
        <f t="array" aca="1" ref="D189" ca="1">INDEX({"Laptop","Smartphone","Headphones","Smartwatch","Tablet","Monitor"}, RANDBETWEEN(1,6))</f>
        <v>Monitor</v>
      </c>
      <c r="E189" s="4">
        <f t="shared" ca="1" si="14"/>
        <v>45747</v>
      </c>
      <c r="F189" s="4">
        <f t="shared" ca="1" si="15"/>
        <v>45751</v>
      </c>
      <c r="G189" s="2">
        <f t="shared" ca="1" si="16"/>
        <v>47061</v>
      </c>
      <c r="H189" s="3">
        <f t="shared" ca="1" si="17"/>
        <v>56623</v>
      </c>
      <c r="I189" s="2" t="str">
        <f t="shared" ca="1" si="18"/>
        <v>Delayed</v>
      </c>
      <c r="J189" s="2">
        <f t="shared" ca="1" si="19"/>
        <v>4</v>
      </c>
      <c r="K189" s="3">
        <f t="shared" ca="1" si="20"/>
        <v>9562</v>
      </c>
    </row>
    <row r="190" spans="1:11">
      <c r="A190" t="s">
        <v>216</v>
      </c>
      <c r="B190" s="2" t="s">
        <v>27</v>
      </c>
      <c r="C190" s="2" t="s">
        <v>19</v>
      </c>
      <c r="D190" s="2" t="str" cm="1">
        <f t="array" aca="1" ref="D190" ca="1">INDEX({"Laptop","Smartphone","Headphones","Smartwatch","Tablet","Monitor"}, RANDBETWEEN(1,6))</f>
        <v>Smartphone</v>
      </c>
      <c r="E190" s="4">
        <f t="shared" ca="1" si="14"/>
        <v>45711</v>
      </c>
      <c r="F190" s="4">
        <f t="shared" ca="1" si="15"/>
        <v>45718</v>
      </c>
      <c r="G190" s="2">
        <f t="shared" ca="1" si="16"/>
        <v>66623</v>
      </c>
      <c r="H190" s="3">
        <f t="shared" ca="1" si="17"/>
        <v>71677</v>
      </c>
      <c r="I190" s="2" t="str">
        <f t="shared" ca="1" si="18"/>
        <v>Delayed</v>
      </c>
      <c r="J190" s="2">
        <f t="shared" ca="1" si="19"/>
        <v>7</v>
      </c>
      <c r="K190" s="3">
        <f t="shared" ca="1" si="20"/>
        <v>5054</v>
      </c>
    </row>
    <row r="191" spans="1:11">
      <c r="A191" t="s">
        <v>217</v>
      </c>
      <c r="B191" s="2" t="s">
        <v>30</v>
      </c>
      <c r="C191" s="2" t="s">
        <v>22</v>
      </c>
      <c r="D191" s="2" t="str" cm="1">
        <f t="array" aca="1" ref="D191" ca="1">INDEX({"Laptop","Smartphone","Headphones","Smartwatch","Tablet","Monitor"}, RANDBETWEEN(1,6))</f>
        <v>Smartwatch</v>
      </c>
      <c r="E191" s="4">
        <f t="shared" ca="1" si="14"/>
        <v>45699</v>
      </c>
      <c r="F191" s="4">
        <f t="shared" ca="1" si="15"/>
        <v>45713</v>
      </c>
      <c r="G191" s="2">
        <f t="shared" ca="1" si="16"/>
        <v>80088</v>
      </c>
      <c r="H191" s="3">
        <f t="shared" ca="1" si="17"/>
        <v>83513</v>
      </c>
      <c r="I191" s="2" t="str">
        <f t="shared" ca="1" si="18"/>
        <v>Delayed</v>
      </c>
      <c r="J191" s="2">
        <f t="shared" ca="1" si="19"/>
        <v>14</v>
      </c>
      <c r="K191" s="3">
        <f t="shared" ca="1" si="20"/>
        <v>3425</v>
      </c>
    </row>
    <row r="192" spans="1:11">
      <c r="A192" t="s">
        <v>218</v>
      </c>
      <c r="B192" s="2" t="s">
        <v>33</v>
      </c>
      <c r="C192" s="2" t="s">
        <v>25</v>
      </c>
      <c r="D192" s="2" t="str" cm="1">
        <f t="array" aca="1" ref="D192" ca="1">INDEX({"Laptop","Smartphone","Headphones","Smartwatch","Tablet","Monitor"}, RANDBETWEEN(1,6))</f>
        <v>Smartwatch</v>
      </c>
      <c r="E192" s="4">
        <f t="shared" ca="1" si="14"/>
        <v>45826</v>
      </c>
      <c r="F192" s="4">
        <f t="shared" ca="1" si="15"/>
        <v>45830</v>
      </c>
      <c r="G192" s="2">
        <f t="shared" ca="1" si="16"/>
        <v>109878</v>
      </c>
      <c r="H192" s="3">
        <f t="shared" ca="1" si="17"/>
        <v>117930</v>
      </c>
      <c r="I192" s="2" t="str">
        <f t="shared" ca="1" si="18"/>
        <v>Delayed</v>
      </c>
      <c r="J192" s="2">
        <f t="shared" ca="1" si="19"/>
        <v>4</v>
      </c>
      <c r="K192" s="3">
        <f t="shared" ca="1" si="20"/>
        <v>8052</v>
      </c>
    </row>
    <row r="193" spans="1:11">
      <c r="A193" t="s">
        <v>219</v>
      </c>
      <c r="B193" s="2" t="s">
        <v>35</v>
      </c>
      <c r="C193" s="2" t="s">
        <v>28</v>
      </c>
      <c r="D193" s="2" t="str" cm="1">
        <f t="array" aca="1" ref="D193" ca="1">INDEX({"Laptop","Smartphone","Headphones","Smartwatch","Tablet","Monitor"}, RANDBETWEEN(1,6))</f>
        <v>Laptop</v>
      </c>
      <c r="E193" s="4">
        <f t="shared" ca="1" si="14"/>
        <v>45801</v>
      </c>
      <c r="F193" s="4">
        <f t="shared" ca="1" si="15"/>
        <v>45804</v>
      </c>
      <c r="G193" s="2">
        <f t="shared" ca="1" si="16"/>
        <v>117547</v>
      </c>
      <c r="H193" s="3">
        <f t="shared" ca="1" si="17"/>
        <v>126762</v>
      </c>
      <c r="I193" s="2" t="str">
        <f t="shared" ca="1" si="18"/>
        <v>Delayed</v>
      </c>
      <c r="J193" s="2">
        <f t="shared" ca="1" si="19"/>
        <v>3</v>
      </c>
      <c r="K193" s="3">
        <f t="shared" ca="1" si="20"/>
        <v>9215</v>
      </c>
    </row>
    <row r="194" spans="1:11">
      <c r="A194" t="s">
        <v>220</v>
      </c>
      <c r="B194" s="2" t="s">
        <v>37</v>
      </c>
      <c r="C194" s="2" t="s">
        <v>16</v>
      </c>
      <c r="D194" s="2" t="str" cm="1">
        <f t="array" aca="1" ref="D194" ca="1">INDEX({"Laptop","Smartphone","Headphones","Smartwatch","Tablet","Monitor"}, RANDBETWEEN(1,6))</f>
        <v>Monitor</v>
      </c>
      <c r="E194" s="4">
        <f t="shared" ca="1" si="14"/>
        <v>45825</v>
      </c>
      <c r="F194" s="4">
        <f t="shared" ca="1" si="15"/>
        <v>45831</v>
      </c>
      <c r="G194" s="2">
        <f t="shared" ca="1" si="16"/>
        <v>49553</v>
      </c>
      <c r="H194" s="3">
        <f t="shared" ca="1" si="17"/>
        <v>52287</v>
      </c>
      <c r="I194" s="2" t="str">
        <f t="shared" ca="1" si="18"/>
        <v>Delayed</v>
      </c>
      <c r="J194" s="2">
        <f t="shared" ca="1" si="19"/>
        <v>6</v>
      </c>
      <c r="K194" s="3">
        <f t="shared" ca="1" si="20"/>
        <v>2734</v>
      </c>
    </row>
    <row r="195" spans="1:11">
      <c r="A195" t="s">
        <v>221</v>
      </c>
      <c r="B195" s="2" t="s">
        <v>12</v>
      </c>
      <c r="C195" s="2" t="s">
        <v>19</v>
      </c>
      <c r="D195" s="2" t="str" cm="1">
        <f t="array" aca="1" ref="D195" ca="1">INDEX({"Laptop","Smartphone","Headphones","Smartwatch","Tablet","Monitor"}, RANDBETWEEN(1,6))</f>
        <v>Headphones</v>
      </c>
      <c r="E195" s="4">
        <f t="shared" ref="E195:E201" ca="1" si="21">DATE(2025,1,1) + RANDBETWEEN(0,180)</f>
        <v>45740</v>
      </c>
      <c r="F195" s="4">
        <f t="shared" ref="F195:F201" ca="1" si="22">E195 + RANDBETWEEN(2,15)</f>
        <v>45751</v>
      </c>
      <c r="G195" s="2">
        <f t="shared" ref="G195:G201" ca="1" si="23">RANDBETWEEN(40000,120000)</f>
        <v>89180</v>
      </c>
      <c r="H195" s="3">
        <f t="shared" ref="H195:H201" ca="1" si="24">G195 + RANDBETWEEN(-5000,15000)</f>
        <v>95803</v>
      </c>
      <c r="I195" s="2" t="str">
        <f t="shared" ref="I195:I201" ca="1" si="25">IF(K195=0,"On Time","Delayed")</f>
        <v>Delayed</v>
      </c>
      <c r="J195" s="2">
        <f t="shared" ref="J195:J201" ca="1" si="26">F195-E195</f>
        <v>11</v>
      </c>
      <c r="K195" s="3">
        <f t="shared" ref="K195:K201" ca="1" si="27">H195-G195</f>
        <v>6623</v>
      </c>
    </row>
    <row r="196" spans="1:11">
      <c r="A196" t="s">
        <v>222</v>
      </c>
      <c r="B196" s="2" t="s">
        <v>24</v>
      </c>
      <c r="C196" s="2" t="s">
        <v>22</v>
      </c>
      <c r="D196" s="2" t="str" cm="1">
        <f t="array" aca="1" ref="D196" ca="1">INDEX({"Laptop","Smartphone","Headphones","Smartwatch","Tablet","Monitor"}, RANDBETWEEN(1,6))</f>
        <v>Headphones</v>
      </c>
      <c r="E196" s="4">
        <f t="shared" ca="1" si="21"/>
        <v>45682</v>
      </c>
      <c r="F196" s="4">
        <f t="shared" ca="1" si="22"/>
        <v>45687</v>
      </c>
      <c r="G196" s="2">
        <f t="shared" ca="1" si="23"/>
        <v>104381</v>
      </c>
      <c r="H196" s="3">
        <f t="shared" ca="1" si="24"/>
        <v>101450</v>
      </c>
      <c r="I196" s="2" t="str">
        <f t="shared" ca="1" si="25"/>
        <v>Delayed</v>
      </c>
      <c r="J196" s="2">
        <f t="shared" ca="1" si="26"/>
        <v>5</v>
      </c>
      <c r="K196" s="3">
        <f t="shared" ca="1" si="27"/>
        <v>-2931</v>
      </c>
    </row>
    <row r="197" spans="1:11">
      <c r="A197" t="s">
        <v>223</v>
      </c>
      <c r="B197" s="2" t="s">
        <v>27</v>
      </c>
      <c r="C197" s="2" t="s">
        <v>25</v>
      </c>
      <c r="D197" s="2" t="str" cm="1">
        <f t="array" aca="1" ref="D197" ca="1">INDEX({"Laptop","Smartphone","Headphones","Smartwatch","Tablet","Monitor"}, RANDBETWEEN(1,6))</f>
        <v>Tablet</v>
      </c>
      <c r="E197" s="4">
        <f t="shared" ca="1" si="21"/>
        <v>45780</v>
      </c>
      <c r="F197" s="4">
        <f t="shared" ca="1" si="22"/>
        <v>45792</v>
      </c>
      <c r="G197" s="2">
        <f t="shared" ca="1" si="23"/>
        <v>68195</v>
      </c>
      <c r="H197" s="3">
        <f t="shared" ca="1" si="24"/>
        <v>63643</v>
      </c>
      <c r="I197" s="2" t="str">
        <f t="shared" ca="1" si="25"/>
        <v>Delayed</v>
      </c>
      <c r="J197" s="2">
        <f t="shared" ca="1" si="26"/>
        <v>12</v>
      </c>
      <c r="K197" s="3">
        <f t="shared" ca="1" si="27"/>
        <v>-4552</v>
      </c>
    </row>
    <row r="198" spans="1:11">
      <c r="A198" t="s">
        <v>224</v>
      </c>
      <c r="B198" s="2" t="s">
        <v>30</v>
      </c>
      <c r="C198" s="2" t="s">
        <v>28</v>
      </c>
      <c r="D198" s="2" t="str" cm="1">
        <f t="array" aca="1" ref="D198" ca="1">INDEX({"Laptop","Smartphone","Headphones","Smartwatch","Tablet","Monitor"}, RANDBETWEEN(1,6))</f>
        <v>Tablet</v>
      </c>
      <c r="E198" s="4">
        <f t="shared" ca="1" si="21"/>
        <v>45834</v>
      </c>
      <c r="F198" s="4">
        <f t="shared" ca="1" si="22"/>
        <v>45843</v>
      </c>
      <c r="G198" s="2">
        <f t="shared" ca="1" si="23"/>
        <v>45212</v>
      </c>
      <c r="H198" s="3">
        <f t="shared" ca="1" si="24"/>
        <v>51764</v>
      </c>
      <c r="I198" s="2" t="str">
        <f t="shared" ca="1" si="25"/>
        <v>Delayed</v>
      </c>
      <c r="J198" s="2">
        <f t="shared" ca="1" si="26"/>
        <v>9</v>
      </c>
      <c r="K198" s="3">
        <f t="shared" ca="1" si="27"/>
        <v>6552</v>
      </c>
    </row>
    <row r="199" spans="1:11">
      <c r="A199" t="s">
        <v>225</v>
      </c>
      <c r="B199" s="2" t="s">
        <v>33</v>
      </c>
      <c r="C199" s="2" t="s">
        <v>31</v>
      </c>
      <c r="D199" s="2" t="str" cm="1">
        <f t="array" aca="1" ref="D199" ca="1">INDEX({"Laptop","Smartphone","Headphones","Smartwatch","Tablet","Monitor"}, RANDBETWEEN(1,6))</f>
        <v>Monitor</v>
      </c>
      <c r="E199" s="4">
        <f t="shared" ca="1" si="21"/>
        <v>45719</v>
      </c>
      <c r="F199" s="4">
        <f t="shared" ca="1" si="22"/>
        <v>45723</v>
      </c>
      <c r="G199" s="2">
        <f t="shared" ca="1" si="23"/>
        <v>114238</v>
      </c>
      <c r="H199" s="3">
        <f t="shared" ca="1" si="24"/>
        <v>116772</v>
      </c>
      <c r="I199" s="2" t="str">
        <f t="shared" ca="1" si="25"/>
        <v>Delayed</v>
      </c>
      <c r="J199" s="2">
        <f t="shared" ca="1" si="26"/>
        <v>4</v>
      </c>
      <c r="K199" s="3">
        <f t="shared" ca="1" si="27"/>
        <v>2534</v>
      </c>
    </row>
    <row r="200" spans="1:11">
      <c r="A200" t="s">
        <v>226</v>
      </c>
      <c r="B200" s="2" t="s">
        <v>35</v>
      </c>
      <c r="C200" s="2" t="s">
        <v>19</v>
      </c>
      <c r="D200" s="2" t="str" cm="1">
        <f t="array" aca="1" ref="D200" ca="1">INDEX({"Laptop","Smartphone","Headphones","Smartwatch","Tablet","Monitor"}, RANDBETWEEN(1,6))</f>
        <v>Headphones</v>
      </c>
      <c r="E200" s="4">
        <f t="shared" ca="1" si="21"/>
        <v>45701</v>
      </c>
      <c r="F200" s="4">
        <f t="shared" ca="1" si="22"/>
        <v>45706</v>
      </c>
      <c r="G200" s="2">
        <f t="shared" ca="1" si="23"/>
        <v>63860</v>
      </c>
      <c r="H200" s="3">
        <f t="shared" ca="1" si="24"/>
        <v>66146</v>
      </c>
      <c r="I200" s="2" t="str">
        <f t="shared" ca="1" si="25"/>
        <v>Delayed</v>
      </c>
      <c r="J200" s="2">
        <f t="shared" ca="1" si="26"/>
        <v>5</v>
      </c>
      <c r="K200" s="3">
        <f t="shared" ca="1" si="27"/>
        <v>2286</v>
      </c>
    </row>
    <row r="201" spans="1:11">
      <c r="A201" t="s">
        <v>227</v>
      </c>
      <c r="B201" s="2" t="s">
        <v>37</v>
      </c>
      <c r="C201" s="2" t="s">
        <v>22</v>
      </c>
      <c r="D201" s="2" t="str" cm="1">
        <f t="array" aca="1" ref="D201" ca="1">INDEX({"Laptop","Smartphone","Headphones","Smartwatch","Tablet","Monitor"}, RANDBETWEEN(1,6))</f>
        <v>Monitor</v>
      </c>
      <c r="E201" s="4">
        <f t="shared" ca="1" si="21"/>
        <v>45755</v>
      </c>
      <c r="F201" s="4">
        <f t="shared" ca="1" si="22"/>
        <v>45761</v>
      </c>
      <c r="G201" s="2">
        <f t="shared" ca="1" si="23"/>
        <v>106915</v>
      </c>
      <c r="H201" s="3">
        <f t="shared" ca="1" si="24"/>
        <v>106652</v>
      </c>
      <c r="I201" s="2" t="str">
        <f t="shared" ca="1" si="25"/>
        <v>Delayed</v>
      </c>
      <c r="J201" s="2">
        <f t="shared" ca="1" si="26"/>
        <v>6</v>
      </c>
      <c r="K201" s="3">
        <f t="shared" ca="1" si="27"/>
        <v>-263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DA91-083F-4B1B-BC60-804AC82297BE}">
  <dimension ref="A1:H12"/>
  <sheetViews>
    <sheetView workbookViewId="0">
      <selection activeCell="R5" sqref="R5"/>
    </sheetView>
  </sheetViews>
  <sheetFormatPr defaultRowHeight="15"/>
  <cols>
    <col min="1" max="1" width="18.140625" bestFit="1" customWidth="1"/>
    <col min="2" max="7" width="13.42578125" bestFit="1" customWidth="1"/>
    <col min="8" max="8" width="14.42578125" bestFit="1" customWidth="1"/>
  </cols>
  <sheetData>
    <row r="1" spans="1:8">
      <c r="A1" s="7" t="s">
        <v>8</v>
      </c>
      <c r="B1" t="s">
        <v>228</v>
      </c>
    </row>
    <row r="3" spans="1:8">
      <c r="A3" s="7" t="s">
        <v>229</v>
      </c>
      <c r="B3" s="7" t="s">
        <v>3</v>
      </c>
    </row>
    <row r="4" spans="1:8">
      <c r="A4" s="7" t="s">
        <v>2</v>
      </c>
      <c r="B4" t="s">
        <v>230</v>
      </c>
      <c r="C4" t="s">
        <v>231</v>
      </c>
      <c r="D4" t="s">
        <v>232</v>
      </c>
      <c r="E4" t="s">
        <v>233</v>
      </c>
      <c r="F4" t="s">
        <v>234</v>
      </c>
      <c r="G4" t="s">
        <v>235</v>
      </c>
      <c r="H4" t="s">
        <v>236</v>
      </c>
    </row>
    <row r="5" spans="1:8">
      <c r="A5" t="s">
        <v>31</v>
      </c>
      <c r="B5" s="1">
        <v>987627</v>
      </c>
      <c r="C5" s="1">
        <v>327952</v>
      </c>
      <c r="D5" s="1">
        <v>170984</v>
      </c>
      <c r="E5" s="1">
        <v>407150</v>
      </c>
      <c r="F5" s="1">
        <v>292365</v>
      </c>
      <c r="G5" s="1">
        <v>735953</v>
      </c>
      <c r="H5" s="1">
        <v>2922031</v>
      </c>
    </row>
    <row r="6" spans="1:8">
      <c r="A6" t="s">
        <v>28</v>
      </c>
      <c r="B6" s="1">
        <v>267569</v>
      </c>
      <c r="C6" s="1">
        <v>582608</v>
      </c>
      <c r="D6" s="1">
        <v>551591</v>
      </c>
      <c r="E6" s="1">
        <v>441389</v>
      </c>
      <c r="F6" s="1">
        <v>270592</v>
      </c>
      <c r="G6" s="1">
        <v>335673</v>
      </c>
      <c r="H6" s="1">
        <v>2449422</v>
      </c>
    </row>
    <row r="7" spans="1:8">
      <c r="A7" t="s">
        <v>22</v>
      </c>
      <c r="B7" s="1">
        <v>290560</v>
      </c>
      <c r="C7" s="1">
        <v>749831</v>
      </c>
      <c r="D7" s="1">
        <v>279155</v>
      </c>
      <c r="E7" s="1">
        <v>212412</v>
      </c>
      <c r="F7" s="1">
        <v>593472</v>
      </c>
      <c r="G7" s="1">
        <v>416746</v>
      </c>
      <c r="H7" s="1">
        <v>2542176</v>
      </c>
    </row>
    <row r="8" spans="1:8">
      <c r="A8" t="s">
        <v>16</v>
      </c>
      <c r="B8" s="1">
        <v>704199</v>
      </c>
      <c r="C8" s="1">
        <v>227156</v>
      </c>
      <c r="D8" s="1">
        <v>534624</v>
      </c>
      <c r="E8" s="1">
        <v>210830</v>
      </c>
      <c r="F8" s="1">
        <v>253848</v>
      </c>
      <c r="G8" s="1">
        <v>272133</v>
      </c>
      <c r="H8" s="1">
        <v>2202790</v>
      </c>
    </row>
    <row r="9" spans="1:8">
      <c r="A9" t="s">
        <v>13</v>
      </c>
      <c r="B9" s="1">
        <v>286409</v>
      </c>
      <c r="C9" s="1">
        <v>299079</v>
      </c>
      <c r="D9" s="1">
        <v>250215</v>
      </c>
      <c r="E9" s="1">
        <v>301155</v>
      </c>
      <c r="F9" s="1">
        <v>191412</v>
      </c>
      <c r="G9" s="1">
        <v>160292</v>
      </c>
      <c r="H9" s="1">
        <v>1488562</v>
      </c>
    </row>
    <row r="10" spans="1:8">
      <c r="A10" t="s">
        <v>25</v>
      </c>
      <c r="B10" s="1">
        <v>355627</v>
      </c>
      <c r="C10" s="1">
        <v>142322</v>
      </c>
      <c r="D10" s="1">
        <v>290853</v>
      </c>
      <c r="E10" s="1">
        <v>332768</v>
      </c>
      <c r="F10" s="1">
        <v>737626</v>
      </c>
      <c r="G10" s="1">
        <v>456691</v>
      </c>
      <c r="H10" s="1">
        <v>2315887</v>
      </c>
    </row>
    <row r="11" spans="1:8">
      <c r="A11" t="s">
        <v>19</v>
      </c>
      <c r="B11" s="1">
        <v>523742</v>
      </c>
      <c r="C11" s="1">
        <v>263968</v>
      </c>
      <c r="D11" s="1">
        <v>615328</v>
      </c>
      <c r="E11" s="1">
        <v>371114</v>
      </c>
      <c r="F11" s="1">
        <v>431405</v>
      </c>
      <c r="G11" s="1">
        <v>486857</v>
      </c>
      <c r="H11" s="1">
        <v>2692414</v>
      </c>
    </row>
    <row r="12" spans="1:8">
      <c r="A12" t="s">
        <v>236</v>
      </c>
      <c r="B12" s="1">
        <v>3415733</v>
      </c>
      <c r="C12" s="1">
        <v>2592916</v>
      </c>
      <c r="D12" s="1">
        <v>2692750</v>
      </c>
      <c r="E12" s="1">
        <v>2276818</v>
      </c>
      <c r="F12" s="1">
        <v>2770720</v>
      </c>
      <c r="G12" s="1">
        <v>2864345</v>
      </c>
      <c r="H12" s="1">
        <v>16613282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8819-FC2D-4B71-B333-804CF7E76292}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2026-01-07T08:09:30Z</dcterms:created>
  <dcterms:modified xsi:type="dcterms:W3CDTF">2026-01-07T14:11:17Z</dcterms:modified>
  <cp:category/>
  <cp:contentStatus/>
</cp:coreProperties>
</file>